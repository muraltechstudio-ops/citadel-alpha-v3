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is" sheetId="1" state="visible" r:id="rId1"/>
    <sheet xmlns:r="http://schemas.openxmlformats.org/officeDocument/2006/relationships" name="Simulation" sheetId="2" state="visible" r:id="rId2"/>
    <sheet xmlns:r="http://schemas.openxmlformats.org/officeDocument/2006/relationships" name="Stats" sheetId="3" state="visible" r:id="rId3"/>
    <sheet xmlns:r="http://schemas.openxmlformats.org/officeDocument/2006/relationships" name="Par ligue" sheetId="4" state="visible" r:id="rId4"/>
    <sheet xmlns:r="http://schemas.openxmlformats.org/officeDocument/2006/relationships" name="Par saison" sheetId="5" state="visible" r:id="rId5"/>
    <sheet xmlns:r="http://schemas.openxmlformats.org/officeDocument/2006/relationships" name="Par co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+0.00;-0.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2F5496"/>
      <sz val="13"/>
    </font>
    <font>
      <b val="1"/>
      <color rgb="002F5496"/>
      <sz val="14"/>
    </font>
    <font>
      <b val="1"/>
      <color rgb="00548235"/>
      <sz val="14"/>
    </font>
    <font>
      <b val="1"/>
      <sz val="12"/>
    </font>
    <font>
      <i val="1"/>
      <color rgb="00888888"/>
    </font>
    <font>
      <b val="1"/>
      <color rgb="002F5496"/>
      <sz val="11"/>
    </font>
    <font>
      <b val="1"/>
      <color rgb="00548235"/>
      <sz val="11"/>
    </font>
    <font>
      <b val="1"/>
      <color rgb="002F5496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6E4F0"/>
        <bgColor rgb="00D6E4F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2F5496"/>
      </bottom>
    </border>
    <border>
      <bottom style="medium">
        <color rgb="0054823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2" fontId="0" fillId="0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2" fillId="0" borderId="1" pivotButton="0" quotePrefix="0" xfId="0"/>
    <xf numFmtId="2" fontId="2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4" fontId="8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22" customWidth="1" min="4" max="4"/>
    <col width="18" customWidth="1" min="5" max="5"/>
    <col width="18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#</t>
        </is>
      </c>
      <c r="B1" s="1" t="inlineStr">
        <is>
          <t>Saison</t>
        </is>
      </c>
      <c r="C1" s="1" t="inlineStr">
        <is>
          <t>Date</t>
        </is>
      </c>
      <c r="D1" s="1" t="inlineStr">
        <is>
          <t>Ligue</t>
        </is>
      </c>
      <c r="E1" s="1" t="inlineStr">
        <is>
          <t>Domicile</t>
        </is>
      </c>
      <c r="F1" s="1" t="inlineStr">
        <is>
          <t>Exterieur</t>
        </is>
      </c>
      <c r="G1" s="1" t="inlineStr">
        <is>
          <t>Score</t>
        </is>
      </c>
      <c r="H1" s="1" t="inlineStr">
        <is>
          <t>Cote Back</t>
        </is>
      </c>
      <c r="I1" s="1" t="inlineStr">
        <is>
          <t>Resultat</t>
        </is>
      </c>
    </row>
    <row r="2">
      <c r="A2" s="2" t="n">
        <v>1</v>
      </c>
      <c r="B2" s="2" t="inlineStr">
        <is>
          <t>2024-2025</t>
        </is>
      </c>
      <c r="C2" s="2" t="inlineStr">
        <is>
          <t>09/08/2024</t>
        </is>
      </c>
      <c r="D2" s="2" t="inlineStr">
        <is>
          <t>Super Lig (TUR)</t>
        </is>
      </c>
      <c r="E2" s="2" t="inlineStr">
        <is>
          <t>Galatasaray</t>
        </is>
      </c>
      <c r="F2" s="2" t="inlineStr">
        <is>
          <t>Hatayspor</t>
        </is>
      </c>
      <c r="G2" s="2" t="inlineStr">
        <is>
          <t>2-1</t>
        </is>
      </c>
      <c r="H2" s="3" t="n">
        <v>12</v>
      </c>
      <c r="I2" s="4" t="inlineStr">
        <is>
          <t>WIN</t>
        </is>
      </c>
    </row>
    <row r="3">
      <c r="A3" s="2" t="n">
        <v>2</v>
      </c>
      <c r="B3" s="2" t="inlineStr">
        <is>
          <t>2024-2025</t>
        </is>
      </c>
      <c r="C3" s="2" t="inlineStr">
        <is>
          <t>10/08/2024</t>
        </is>
      </c>
      <c r="D3" s="2" t="inlineStr">
        <is>
          <t>Championship</t>
        </is>
      </c>
      <c r="E3" s="2" t="inlineStr">
        <is>
          <t>Leeds</t>
        </is>
      </c>
      <c r="F3" s="2" t="inlineStr">
        <is>
          <t>Portsmouth</t>
        </is>
      </c>
      <c r="G3" s="2" t="inlineStr">
        <is>
          <t>3-3</t>
        </is>
      </c>
      <c r="H3" s="3" t="n">
        <v>8.800000000000001</v>
      </c>
      <c r="I3" s="4" t="inlineStr">
        <is>
          <t>WIN</t>
        </is>
      </c>
    </row>
    <row r="4">
      <c r="A4" s="2" t="n">
        <v>3</v>
      </c>
      <c r="B4" s="2" t="inlineStr">
        <is>
          <t>2024-2025</t>
        </is>
      </c>
      <c r="C4" s="2" t="inlineStr">
        <is>
          <t>11/08/2024</t>
        </is>
      </c>
      <c r="D4" s="2" t="inlineStr">
        <is>
          <t>Liga Portugal</t>
        </is>
      </c>
      <c r="E4" s="2" t="inlineStr">
        <is>
          <t>Sp Braga</t>
        </is>
      </c>
      <c r="F4" s="2" t="inlineStr">
        <is>
          <t>Estrela</t>
        </is>
      </c>
      <c r="G4" s="2" t="inlineStr">
        <is>
          <t>1-1</t>
        </is>
      </c>
      <c r="H4" s="3" t="n">
        <v>8</v>
      </c>
      <c r="I4" s="4" t="inlineStr">
        <is>
          <t>WIN</t>
        </is>
      </c>
    </row>
    <row r="5">
      <c r="A5" s="2" t="n">
        <v>4</v>
      </c>
      <c r="B5" s="2" t="inlineStr">
        <is>
          <t>2024-2025</t>
        </is>
      </c>
      <c r="C5" s="2" t="inlineStr">
        <is>
          <t>15/08/2024</t>
        </is>
      </c>
      <c r="D5" s="2" t="inlineStr">
        <is>
          <t>La Liga</t>
        </is>
      </c>
      <c r="E5" s="2" t="inlineStr">
        <is>
          <t>Ath Bilbao</t>
        </is>
      </c>
      <c r="F5" s="2" t="inlineStr">
        <is>
          <t>Getafe</t>
        </is>
      </c>
      <c r="G5" s="2" t="inlineStr">
        <is>
          <t>1-1</t>
        </is>
      </c>
      <c r="H5" s="3" t="n">
        <v>8.199999999999999</v>
      </c>
      <c r="I5" s="4" t="inlineStr">
        <is>
          <t>WIN</t>
        </is>
      </c>
    </row>
    <row r="6">
      <c r="A6" s="2" t="n">
        <v>5</v>
      </c>
      <c r="B6" s="2" t="inlineStr">
        <is>
          <t>2024-2025</t>
        </is>
      </c>
      <c r="C6" s="2" t="inlineStr">
        <is>
          <t>18/08/2024</t>
        </is>
      </c>
      <c r="D6" s="2" t="inlineStr">
        <is>
          <t>Super League (GRE)</t>
        </is>
      </c>
      <c r="E6" s="2" t="inlineStr">
        <is>
          <t>Panathinaikos</t>
        </is>
      </c>
      <c r="F6" s="2" t="inlineStr">
        <is>
          <t>Asteras Tripolis</t>
        </is>
      </c>
      <c r="G6" s="2" t="inlineStr">
        <is>
          <t>0-1</t>
        </is>
      </c>
      <c r="H6" s="3" t="n">
        <v>10</v>
      </c>
      <c r="I6" s="5" t="inlineStr">
        <is>
          <t>LOSS</t>
        </is>
      </c>
    </row>
    <row r="7">
      <c r="A7" s="2" t="n">
        <v>6</v>
      </c>
      <c r="B7" s="2" t="inlineStr">
        <is>
          <t>2024-2025</t>
        </is>
      </c>
      <c r="C7" s="2" t="inlineStr">
        <is>
          <t>25/08/2024</t>
        </is>
      </c>
      <c r="D7" s="2" t="inlineStr">
        <is>
          <t>Super League (GRE)</t>
        </is>
      </c>
      <c r="E7" s="2" t="inlineStr">
        <is>
          <t>Panathinaikos</t>
        </is>
      </c>
      <c r="F7" s="2" t="inlineStr">
        <is>
          <t>Levadeiakos</t>
        </is>
      </c>
      <c r="G7" s="2" t="inlineStr">
        <is>
          <t>1-0</t>
        </is>
      </c>
      <c r="H7" s="3" t="n">
        <v>11.5</v>
      </c>
      <c r="I7" s="4" t="inlineStr">
        <is>
          <t>WIN</t>
        </is>
      </c>
    </row>
    <row r="8">
      <c r="A8" s="2" t="n">
        <v>7</v>
      </c>
      <c r="B8" s="2" t="inlineStr">
        <is>
          <t>2024-2025</t>
        </is>
      </c>
      <c r="C8" s="2" t="inlineStr">
        <is>
          <t>28/08/2024</t>
        </is>
      </c>
      <c r="D8" s="2" t="inlineStr">
        <is>
          <t>La Liga</t>
        </is>
      </c>
      <c r="E8" s="2" t="inlineStr">
        <is>
          <t>Ath Madrid</t>
        </is>
      </c>
      <c r="F8" s="2" t="inlineStr">
        <is>
          <t>Espanol</t>
        </is>
      </c>
      <c r="G8" s="2" t="inlineStr">
        <is>
          <t>0-0</t>
        </is>
      </c>
      <c r="H8" s="3" t="n">
        <v>13</v>
      </c>
      <c r="I8" s="4" t="inlineStr">
        <is>
          <t>WIN</t>
        </is>
      </c>
    </row>
    <row r="9">
      <c r="A9" s="2" t="n">
        <v>8</v>
      </c>
      <c r="B9" s="2" t="inlineStr">
        <is>
          <t>2024-2025</t>
        </is>
      </c>
      <c r="C9" s="2" t="inlineStr">
        <is>
          <t>30/08/2024</t>
        </is>
      </c>
      <c r="D9" s="2" t="inlineStr">
        <is>
          <t>Super Lig (TUR)</t>
        </is>
      </c>
      <c r="E9" s="2" t="inlineStr">
        <is>
          <t>Fenerbahce</t>
        </is>
      </c>
      <c r="F9" s="2" t="inlineStr">
        <is>
          <t>Alanyaspor</t>
        </is>
      </c>
      <c r="G9" s="2" t="inlineStr">
        <is>
          <t>3-0</t>
        </is>
      </c>
      <c r="H9" s="3" t="n">
        <v>11.5</v>
      </c>
      <c r="I9" s="4" t="inlineStr">
        <is>
          <t>WIN</t>
        </is>
      </c>
    </row>
    <row r="10">
      <c r="A10" s="2" t="n">
        <v>9</v>
      </c>
      <c r="B10" s="2" t="inlineStr">
        <is>
          <t>2024-2025</t>
        </is>
      </c>
      <c r="C10" s="2" t="inlineStr">
        <is>
          <t>31/08/2024</t>
        </is>
      </c>
      <c r="D10" s="2" t="inlineStr">
        <is>
          <t>La Liga</t>
        </is>
      </c>
      <c r="E10" s="2" t="inlineStr">
        <is>
          <t>Barcelona</t>
        </is>
      </c>
      <c r="F10" s="2" t="inlineStr">
        <is>
          <t>Valladolid</t>
        </is>
      </c>
      <c r="G10" s="2" t="inlineStr">
        <is>
          <t>7-0</t>
        </is>
      </c>
      <c r="H10" s="3" t="n">
        <v>13</v>
      </c>
      <c r="I10" s="4" t="inlineStr">
        <is>
          <t>WIN</t>
        </is>
      </c>
    </row>
    <row r="11">
      <c r="A11" s="2" t="n">
        <v>10</v>
      </c>
      <c r="B11" s="2" t="inlineStr">
        <is>
          <t>2024-2025</t>
        </is>
      </c>
      <c r="C11" s="2" t="inlineStr">
        <is>
          <t>31/08/2024</t>
        </is>
      </c>
      <c r="D11" s="2" t="inlineStr">
        <is>
          <t>Championship</t>
        </is>
      </c>
      <c r="E11" s="2" t="inlineStr">
        <is>
          <t>Leeds</t>
        </is>
      </c>
      <c r="F11" s="2" t="inlineStr">
        <is>
          <t>Hull</t>
        </is>
      </c>
      <c r="G11" s="2" t="inlineStr">
        <is>
          <t>2-0</t>
        </is>
      </c>
      <c r="H11" s="3" t="n">
        <v>10.5</v>
      </c>
      <c r="I11" s="4" t="inlineStr">
        <is>
          <t>WIN</t>
        </is>
      </c>
    </row>
    <row r="12">
      <c r="A12" s="2" t="n">
        <v>11</v>
      </c>
      <c r="B12" s="2" t="inlineStr">
        <is>
          <t>2024-2025</t>
        </is>
      </c>
      <c r="C12" s="2" t="inlineStr">
        <is>
          <t>01/09/2024</t>
        </is>
      </c>
      <c r="D12" s="2" t="inlineStr">
        <is>
          <t>La Liga</t>
        </is>
      </c>
      <c r="E12" s="2" t="inlineStr">
        <is>
          <t>Real Madrid</t>
        </is>
      </c>
      <c r="F12" s="2" t="inlineStr">
        <is>
          <t>Betis</t>
        </is>
      </c>
      <c r="G12" s="2" t="inlineStr">
        <is>
          <t>2-0</t>
        </is>
      </c>
      <c r="H12" s="3" t="n">
        <v>11.5</v>
      </c>
      <c r="I12" s="4" t="inlineStr">
        <is>
          <t>WIN</t>
        </is>
      </c>
    </row>
    <row r="13">
      <c r="A13" s="2" t="n">
        <v>12</v>
      </c>
      <c r="B13" s="2" t="inlineStr">
        <is>
          <t>2024-2025</t>
        </is>
      </c>
      <c r="C13" s="2" t="inlineStr">
        <is>
          <t>01/09/2024</t>
        </is>
      </c>
      <c r="D13" s="2" t="inlineStr">
        <is>
          <t>Eredivisie</t>
        </is>
      </c>
      <c r="E13" s="2" t="inlineStr">
        <is>
          <t>PSV Eindhoven</t>
        </is>
      </c>
      <c r="F13" s="2" t="inlineStr">
        <is>
          <t>Go Ahead Eagles</t>
        </is>
      </c>
      <c r="G13" s="2" t="inlineStr">
        <is>
          <t>3-0</t>
        </is>
      </c>
      <c r="H13" s="3" t="n">
        <v>8.199999999999999</v>
      </c>
      <c r="I13" s="4" t="inlineStr">
        <is>
          <t>WIN</t>
        </is>
      </c>
    </row>
    <row r="14">
      <c r="A14" s="2" t="n">
        <v>13</v>
      </c>
      <c r="B14" s="2" t="inlineStr">
        <is>
          <t>2024-2025</t>
        </is>
      </c>
      <c r="C14" s="2" t="inlineStr">
        <is>
          <t>14/09/2024</t>
        </is>
      </c>
      <c r="D14" s="2" t="inlineStr">
        <is>
          <t>Liga Portugal</t>
        </is>
      </c>
      <c r="E14" s="2" t="inlineStr">
        <is>
          <t>Benfica</t>
        </is>
      </c>
      <c r="F14" s="2" t="inlineStr">
        <is>
          <t>Santa Clara</t>
        </is>
      </c>
      <c r="G14" s="2" t="inlineStr">
        <is>
          <t>4-1</t>
        </is>
      </c>
      <c r="H14" s="3" t="n">
        <v>14</v>
      </c>
      <c r="I14" s="4" t="inlineStr">
        <is>
          <t>WIN</t>
        </is>
      </c>
    </row>
    <row r="15">
      <c r="A15" s="2" t="n">
        <v>14</v>
      </c>
      <c r="B15" s="2" t="inlineStr">
        <is>
          <t>2024-2025</t>
        </is>
      </c>
      <c r="C15" s="2" t="inlineStr">
        <is>
          <t>14/09/2024</t>
        </is>
      </c>
      <c r="D15" s="2" t="inlineStr">
        <is>
          <t>Eredivisie</t>
        </is>
      </c>
      <c r="E15" s="2" t="inlineStr">
        <is>
          <t>Twente</t>
        </is>
      </c>
      <c r="F15" s="2" t="inlineStr">
        <is>
          <t>Zwolle</t>
        </is>
      </c>
      <c r="G15" s="2" t="inlineStr">
        <is>
          <t>1-1</t>
        </is>
      </c>
      <c r="H15" s="3" t="n">
        <v>10.5</v>
      </c>
      <c r="I15" s="4" t="inlineStr">
        <is>
          <t>WIN</t>
        </is>
      </c>
    </row>
    <row r="16">
      <c r="A16" s="2" t="n">
        <v>15</v>
      </c>
      <c r="B16" s="2" t="inlineStr">
        <is>
          <t>2024-2025</t>
        </is>
      </c>
      <c r="C16" s="2" t="inlineStr">
        <is>
          <t>15/09/2024</t>
        </is>
      </c>
      <c r="D16" s="2" t="inlineStr">
        <is>
          <t>La Liga</t>
        </is>
      </c>
      <c r="E16" s="2" t="inlineStr">
        <is>
          <t>Ath Madrid</t>
        </is>
      </c>
      <c r="F16" s="2" t="inlineStr">
        <is>
          <t>Valencia</t>
        </is>
      </c>
      <c r="G16" s="2" t="inlineStr">
        <is>
          <t>3-0</t>
        </is>
      </c>
      <c r="H16" s="3" t="n">
        <v>11.5</v>
      </c>
      <c r="I16" s="4" t="inlineStr">
        <is>
          <t>WIN</t>
        </is>
      </c>
    </row>
    <row r="17">
      <c r="A17" s="2" t="n">
        <v>16</v>
      </c>
      <c r="B17" s="2" t="inlineStr">
        <is>
          <t>2024-2025</t>
        </is>
      </c>
      <c r="C17" s="2" t="inlineStr">
        <is>
          <t>16/09/2024</t>
        </is>
      </c>
      <c r="D17" s="2" t="inlineStr">
        <is>
          <t>Super League (GRE)</t>
        </is>
      </c>
      <c r="E17" s="2" t="inlineStr">
        <is>
          <t>AEK</t>
        </is>
      </c>
      <c r="F17" s="2" t="inlineStr">
        <is>
          <t>Volos NFC</t>
        </is>
      </c>
      <c r="G17" s="2" t="inlineStr">
        <is>
          <t>2-0</t>
        </is>
      </c>
      <c r="H17" s="3" t="n">
        <v>10</v>
      </c>
      <c r="I17" s="4" t="inlineStr">
        <is>
          <t>WIN</t>
        </is>
      </c>
    </row>
    <row r="18">
      <c r="A18" s="2" t="n">
        <v>17</v>
      </c>
      <c r="B18" s="2" t="inlineStr">
        <is>
          <t>2024-2025</t>
        </is>
      </c>
      <c r="C18" s="2" t="inlineStr">
        <is>
          <t>17/09/2024</t>
        </is>
      </c>
      <c r="D18" s="2" t="inlineStr">
        <is>
          <t>Eredivisie</t>
        </is>
      </c>
      <c r="E18" s="2" t="inlineStr">
        <is>
          <t>Twente</t>
        </is>
      </c>
      <c r="F18" s="2" t="inlineStr">
        <is>
          <t>Heerenveen</t>
        </is>
      </c>
      <c r="G18" s="2" t="inlineStr">
        <is>
          <t>2-0</t>
        </is>
      </c>
      <c r="H18" s="3" t="n">
        <v>8</v>
      </c>
      <c r="I18" s="4" t="inlineStr">
        <is>
          <t>WIN</t>
        </is>
      </c>
    </row>
    <row r="19">
      <c r="A19" s="2" t="n">
        <v>18</v>
      </c>
      <c r="B19" s="2" t="inlineStr">
        <is>
          <t>2024-2025</t>
        </is>
      </c>
      <c r="C19" s="2" t="inlineStr">
        <is>
          <t>18/09/2024</t>
        </is>
      </c>
      <c r="D19" s="2" t="inlineStr">
        <is>
          <t>Eredivisie</t>
        </is>
      </c>
      <c r="E19" s="2" t="inlineStr">
        <is>
          <t>Ajax</t>
        </is>
      </c>
      <c r="F19" s="2" t="inlineStr">
        <is>
          <t>For Sittard</t>
        </is>
      </c>
      <c r="G19" s="2" t="inlineStr">
        <is>
          <t>5-0</t>
        </is>
      </c>
      <c r="H19" s="3" t="n">
        <v>8.199999999999999</v>
      </c>
      <c r="I19" s="4" t="inlineStr">
        <is>
          <t>WIN</t>
        </is>
      </c>
    </row>
    <row r="20">
      <c r="A20" s="2" t="n">
        <v>19</v>
      </c>
      <c r="B20" s="2" t="inlineStr">
        <is>
          <t>2024-2025</t>
        </is>
      </c>
      <c r="C20" s="2" t="inlineStr">
        <is>
          <t>21/09/2024</t>
        </is>
      </c>
      <c r="D20" s="2" t="inlineStr">
        <is>
          <t>Championship</t>
        </is>
      </c>
      <c r="E20" s="2" t="inlineStr">
        <is>
          <t>West Brom</t>
        </is>
      </c>
      <c r="F20" s="2" t="inlineStr">
        <is>
          <t>Plymouth</t>
        </is>
      </c>
      <c r="G20" s="2" t="inlineStr">
        <is>
          <t>1-0</t>
        </is>
      </c>
      <c r="H20" s="3" t="n">
        <v>8.6</v>
      </c>
      <c r="I20" s="4" t="inlineStr">
        <is>
          <t>WIN</t>
        </is>
      </c>
    </row>
    <row r="21">
      <c r="A21" s="2" t="n">
        <v>20</v>
      </c>
      <c r="B21" s="2" t="inlineStr">
        <is>
          <t>2024-2025</t>
        </is>
      </c>
      <c r="C21" s="2" t="inlineStr">
        <is>
          <t>25/09/2024</t>
        </is>
      </c>
      <c r="D21" s="2" t="inlineStr">
        <is>
          <t>La Liga</t>
        </is>
      </c>
      <c r="E21" s="2" t="inlineStr">
        <is>
          <t>Barcelona</t>
        </is>
      </c>
      <c r="F21" s="2" t="inlineStr">
        <is>
          <t>Getafe</t>
        </is>
      </c>
      <c r="G21" s="2" t="inlineStr">
        <is>
          <t>1-0</t>
        </is>
      </c>
      <c r="H21" s="3" t="n">
        <v>14.5</v>
      </c>
      <c r="I21" s="4" t="inlineStr">
        <is>
          <t>WIN</t>
        </is>
      </c>
    </row>
    <row r="22">
      <c r="A22" s="2" t="n">
        <v>21</v>
      </c>
      <c r="B22" s="2" t="inlineStr">
        <is>
          <t>2024-2025</t>
        </is>
      </c>
      <c r="C22" s="2" t="inlineStr">
        <is>
          <t>28/09/2024</t>
        </is>
      </c>
      <c r="D22" s="2" t="inlineStr">
        <is>
          <t>Super Lig (TUR)</t>
        </is>
      </c>
      <c r="E22" s="2" t="inlineStr">
        <is>
          <t>Galatasaray</t>
        </is>
      </c>
      <c r="F22" s="2" t="inlineStr">
        <is>
          <t>Kasimpasa</t>
        </is>
      </c>
      <c r="G22" s="2" t="inlineStr">
        <is>
          <t>3-3</t>
        </is>
      </c>
      <c r="H22" s="3" t="n">
        <v>10.5</v>
      </c>
      <c r="I22" s="4" t="inlineStr">
        <is>
          <t>WIN</t>
        </is>
      </c>
    </row>
    <row r="23">
      <c r="A23" s="2" t="n">
        <v>22</v>
      </c>
      <c r="B23" s="2" t="inlineStr">
        <is>
          <t>2024-2025</t>
        </is>
      </c>
      <c r="C23" s="2" t="inlineStr">
        <is>
          <t>29/09/2024</t>
        </is>
      </c>
      <c r="D23" s="2" t="inlineStr">
        <is>
          <t>Eredivisie</t>
        </is>
      </c>
      <c r="E23" s="2" t="inlineStr">
        <is>
          <t>Twente</t>
        </is>
      </c>
      <c r="F23" s="2" t="inlineStr">
        <is>
          <t>NAC Breda</t>
        </is>
      </c>
      <c r="G23" s="2" t="inlineStr">
        <is>
          <t>1-0</t>
        </is>
      </c>
      <c r="H23" s="3" t="n">
        <v>13.5</v>
      </c>
      <c r="I23" s="4" t="inlineStr">
        <is>
          <t>WIN</t>
        </is>
      </c>
    </row>
    <row r="24">
      <c r="A24" s="2" t="n">
        <v>23</v>
      </c>
      <c r="B24" s="2" t="inlineStr">
        <is>
          <t>2024-2025</t>
        </is>
      </c>
      <c r="C24" s="2" t="inlineStr">
        <is>
          <t>29/09/2024</t>
        </is>
      </c>
      <c r="D24" s="2" t="inlineStr">
        <is>
          <t>Liga Portugal</t>
        </is>
      </c>
      <c r="E24" s="2" t="inlineStr">
        <is>
          <t>Sp Braga</t>
        </is>
      </c>
      <c r="F24" s="2" t="inlineStr">
        <is>
          <t>Rio Ave</t>
        </is>
      </c>
      <c r="G24" s="2" t="inlineStr">
        <is>
          <t>4-0</t>
        </is>
      </c>
      <c r="H24" s="3" t="n">
        <v>9</v>
      </c>
      <c r="I24" s="4" t="inlineStr">
        <is>
          <t>WIN</t>
        </is>
      </c>
    </row>
    <row r="25">
      <c r="A25" s="2" t="n">
        <v>24</v>
      </c>
      <c r="B25" s="2" t="inlineStr">
        <is>
          <t>2024-2025</t>
        </is>
      </c>
      <c r="C25" s="2" t="inlineStr">
        <is>
          <t>05/10/2024</t>
        </is>
      </c>
      <c r="D25" s="2" t="inlineStr">
        <is>
          <t>La Liga</t>
        </is>
      </c>
      <c r="E25" s="2" t="inlineStr">
        <is>
          <t>Real Madrid</t>
        </is>
      </c>
      <c r="F25" s="2" t="inlineStr">
        <is>
          <t>Villarreal</t>
        </is>
      </c>
      <c r="G25" s="2" t="inlineStr">
        <is>
          <t>2-0</t>
        </is>
      </c>
      <c r="H25" s="3" t="n">
        <v>10.5</v>
      </c>
      <c r="I25" s="4" t="inlineStr">
        <is>
          <t>WIN</t>
        </is>
      </c>
    </row>
    <row r="26">
      <c r="A26" s="2" t="n">
        <v>25</v>
      </c>
      <c r="B26" s="2" t="inlineStr">
        <is>
          <t>2024-2025</t>
        </is>
      </c>
      <c r="C26" s="2" t="inlineStr">
        <is>
          <t>05/10/2024</t>
        </is>
      </c>
      <c r="D26" s="2" t="inlineStr">
        <is>
          <t>Eredivisie</t>
        </is>
      </c>
      <c r="E26" s="2" t="inlineStr">
        <is>
          <t>Utrecht</t>
        </is>
      </c>
      <c r="F26" s="2" t="inlineStr">
        <is>
          <t>Waalwijk</t>
        </is>
      </c>
      <c r="G26" s="2" t="inlineStr">
        <is>
          <t>3-2</t>
        </is>
      </c>
      <c r="H26" s="3" t="n">
        <v>8.4</v>
      </c>
      <c r="I26" s="4" t="inlineStr">
        <is>
          <t>WIN</t>
        </is>
      </c>
    </row>
    <row r="27">
      <c r="A27" s="2" t="n">
        <v>26</v>
      </c>
      <c r="B27" s="2" t="inlineStr">
        <is>
          <t>2024-2025</t>
        </is>
      </c>
      <c r="C27" s="2" t="inlineStr">
        <is>
          <t>06/10/2024</t>
        </is>
      </c>
      <c r="D27" s="2" t="inlineStr">
        <is>
          <t>Super Lig (TUR)</t>
        </is>
      </c>
      <c r="E27" s="2" t="inlineStr">
        <is>
          <t>Galatasaray</t>
        </is>
      </c>
      <c r="F27" s="2" t="inlineStr">
        <is>
          <t>Alanyaspor</t>
        </is>
      </c>
      <c r="G27" s="2" t="inlineStr">
        <is>
          <t>1-0</t>
        </is>
      </c>
      <c r="H27" s="3" t="n">
        <v>9.4</v>
      </c>
      <c r="I27" s="4" t="inlineStr">
        <is>
          <t>WIN</t>
        </is>
      </c>
    </row>
    <row r="28">
      <c r="A28" s="2" t="n">
        <v>27</v>
      </c>
      <c r="B28" s="2" t="inlineStr">
        <is>
          <t>2024-2025</t>
        </is>
      </c>
      <c r="C28" s="2" t="inlineStr">
        <is>
          <t>06/10/2024</t>
        </is>
      </c>
      <c r="D28" s="2" t="inlineStr">
        <is>
          <t>Eredivisie</t>
        </is>
      </c>
      <c r="E28" s="2" t="inlineStr">
        <is>
          <t>Ajax</t>
        </is>
      </c>
      <c r="F28" s="2" t="inlineStr">
        <is>
          <t>Groningen</t>
        </is>
      </c>
      <c r="G28" s="2" t="inlineStr">
        <is>
          <t>3-1</t>
        </is>
      </c>
      <c r="H28" s="3" t="n">
        <v>9</v>
      </c>
      <c r="I28" s="4" t="inlineStr">
        <is>
          <t>WIN</t>
        </is>
      </c>
    </row>
    <row r="29">
      <c r="A29" s="2" t="n">
        <v>28</v>
      </c>
      <c r="B29" s="2" t="inlineStr">
        <is>
          <t>2024-2025</t>
        </is>
      </c>
      <c r="C29" s="2" t="inlineStr">
        <is>
          <t>19/10/2024</t>
        </is>
      </c>
      <c r="D29" s="2" t="inlineStr">
        <is>
          <t>La Liga</t>
        </is>
      </c>
      <c r="E29" s="2" t="inlineStr">
        <is>
          <t>Ath Bilbao</t>
        </is>
      </c>
      <c r="F29" s="2" t="inlineStr">
        <is>
          <t>Espanol</t>
        </is>
      </c>
      <c r="G29" s="2" t="inlineStr">
        <is>
          <t>4-1</t>
        </is>
      </c>
      <c r="H29" s="3" t="n">
        <v>8.800000000000001</v>
      </c>
      <c r="I29" s="4" t="inlineStr">
        <is>
          <t>WIN</t>
        </is>
      </c>
    </row>
    <row r="30">
      <c r="A30" s="2" t="n">
        <v>29</v>
      </c>
      <c r="B30" s="2" t="inlineStr">
        <is>
          <t>2024-2025</t>
        </is>
      </c>
      <c r="C30" s="2" t="inlineStr">
        <is>
          <t>20/10/2024</t>
        </is>
      </c>
      <c r="D30" s="2" t="inlineStr">
        <is>
          <t>La Liga</t>
        </is>
      </c>
      <c r="E30" s="2" t="inlineStr">
        <is>
          <t>Ath Madrid</t>
        </is>
      </c>
      <c r="F30" s="2" t="inlineStr">
        <is>
          <t>Leganes</t>
        </is>
      </c>
      <c r="G30" s="2" t="inlineStr">
        <is>
          <t>3-1</t>
        </is>
      </c>
      <c r="H30" s="3" t="n">
        <v>11.5</v>
      </c>
      <c r="I30" s="4" t="inlineStr">
        <is>
          <t>WIN</t>
        </is>
      </c>
    </row>
    <row r="31">
      <c r="A31" s="2" t="n">
        <v>30</v>
      </c>
      <c r="B31" s="2" t="inlineStr">
        <is>
          <t>2024-2025</t>
        </is>
      </c>
      <c r="C31" s="2" t="inlineStr">
        <is>
          <t>20/10/2024</t>
        </is>
      </c>
      <c r="D31" s="2" t="inlineStr">
        <is>
          <t>Super League (GRE)</t>
        </is>
      </c>
      <c r="E31" s="2" t="inlineStr">
        <is>
          <t>Olympiakos</t>
        </is>
      </c>
      <c r="F31" s="2" t="inlineStr">
        <is>
          <t>Levadeiakos</t>
        </is>
      </c>
      <c r="G31" s="2" t="inlineStr">
        <is>
          <t>2-2</t>
        </is>
      </c>
      <c r="H31" s="3" t="n">
        <v>11</v>
      </c>
      <c r="I31" s="4" t="inlineStr">
        <is>
          <t>WIN</t>
        </is>
      </c>
    </row>
    <row r="32">
      <c r="A32" s="2" t="n">
        <v>31</v>
      </c>
      <c r="B32" s="2" t="inlineStr">
        <is>
          <t>2024-2025</t>
        </is>
      </c>
      <c r="C32" s="2" t="inlineStr">
        <is>
          <t>22/10/2024</t>
        </is>
      </c>
      <c r="D32" s="2" t="inlineStr">
        <is>
          <t>Championship</t>
        </is>
      </c>
      <c r="E32" s="2" t="inlineStr">
        <is>
          <t>Leeds</t>
        </is>
      </c>
      <c r="F32" s="2" t="inlineStr">
        <is>
          <t>Watford</t>
        </is>
      </c>
      <c r="G32" s="2" t="inlineStr">
        <is>
          <t>2-1</t>
        </is>
      </c>
      <c r="H32" s="3" t="n">
        <v>10.5</v>
      </c>
      <c r="I32" s="4" t="inlineStr">
        <is>
          <t>WIN</t>
        </is>
      </c>
    </row>
    <row r="33">
      <c r="A33" s="2" t="n">
        <v>32</v>
      </c>
      <c r="B33" s="2" t="inlineStr">
        <is>
          <t>2024-2025</t>
        </is>
      </c>
      <c r="C33" s="2" t="inlineStr">
        <is>
          <t>27/10/2024</t>
        </is>
      </c>
      <c r="D33" s="2" t="inlineStr">
        <is>
          <t>Eredivisie</t>
        </is>
      </c>
      <c r="E33" s="2" t="inlineStr">
        <is>
          <t>Twente</t>
        </is>
      </c>
      <c r="F33" s="2" t="inlineStr">
        <is>
          <t>Heracles</t>
        </is>
      </c>
      <c r="G33" s="2" t="inlineStr">
        <is>
          <t>5-0</t>
        </is>
      </c>
      <c r="H33" s="3" t="n">
        <v>12.5</v>
      </c>
      <c r="I33" s="4" t="inlineStr">
        <is>
          <t>WIN</t>
        </is>
      </c>
    </row>
    <row r="34">
      <c r="A34" s="2" t="n">
        <v>33</v>
      </c>
      <c r="B34" s="2" t="inlineStr">
        <is>
          <t>2024-2025</t>
        </is>
      </c>
      <c r="C34" s="2" t="inlineStr">
        <is>
          <t>27/10/2024</t>
        </is>
      </c>
      <c r="D34" s="2" t="inlineStr">
        <is>
          <t>Eredivisie</t>
        </is>
      </c>
      <c r="E34" s="2" t="inlineStr">
        <is>
          <t>Ajax</t>
        </is>
      </c>
      <c r="F34" s="2" t="inlineStr">
        <is>
          <t>Willem II</t>
        </is>
      </c>
      <c r="G34" s="2" t="inlineStr">
        <is>
          <t>1-0</t>
        </is>
      </c>
      <c r="H34" s="3" t="n">
        <v>10.5</v>
      </c>
      <c r="I34" s="4" t="inlineStr">
        <is>
          <t>WIN</t>
        </is>
      </c>
    </row>
    <row r="35">
      <c r="A35" s="2" t="n">
        <v>34</v>
      </c>
      <c r="B35" s="2" t="inlineStr">
        <is>
          <t>2024-2025</t>
        </is>
      </c>
      <c r="C35" s="2" t="inlineStr">
        <is>
          <t>03/11/2024</t>
        </is>
      </c>
      <c r="D35" s="2" t="inlineStr">
        <is>
          <t>La Liga</t>
        </is>
      </c>
      <c r="E35" s="2" t="inlineStr">
        <is>
          <t>Ath Madrid</t>
        </is>
      </c>
      <c r="F35" s="2" t="inlineStr">
        <is>
          <t>Las Palmas</t>
        </is>
      </c>
      <c r="G35" s="2" t="inlineStr">
        <is>
          <t>2-0</t>
        </is>
      </c>
      <c r="H35" s="3" t="n">
        <v>12.5</v>
      </c>
      <c r="I35" s="4" t="inlineStr">
        <is>
          <t>WIN</t>
        </is>
      </c>
    </row>
    <row r="36">
      <c r="A36" s="2" t="n">
        <v>35</v>
      </c>
      <c r="B36" s="2" t="inlineStr">
        <is>
          <t>2024-2025</t>
        </is>
      </c>
      <c r="C36" s="2" t="inlineStr">
        <is>
          <t>08/11/2024</t>
        </is>
      </c>
      <c r="D36" s="2" t="inlineStr">
        <is>
          <t>Eredivisie</t>
        </is>
      </c>
      <c r="E36" s="2" t="inlineStr">
        <is>
          <t>Utrecht</t>
        </is>
      </c>
      <c r="F36" s="2" t="inlineStr">
        <is>
          <t>Heracles</t>
        </is>
      </c>
      <c r="G36" s="2" t="inlineStr">
        <is>
          <t>1-0</t>
        </is>
      </c>
      <c r="H36" s="3" t="n">
        <v>8.6</v>
      </c>
      <c r="I36" s="4" t="inlineStr">
        <is>
          <t>WIN</t>
        </is>
      </c>
    </row>
    <row r="37">
      <c r="A37" s="2" t="n">
        <v>36</v>
      </c>
      <c r="B37" s="2" t="inlineStr">
        <is>
          <t>2024-2025</t>
        </is>
      </c>
      <c r="C37" s="2" t="inlineStr">
        <is>
          <t>09/11/2024</t>
        </is>
      </c>
      <c r="D37" s="2" t="inlineStr">
        <is>
          <t>Championship</t>
        </is>
      </c>
      <c r="E37" s="2" t="inlineStr">
        <is>
          <t>Leeds</t>
        </is>
      </c>
      <c r="F37" s="2" t="inlineStr">
        <is>
          <t>QPR</t>
        </is>
      </c>
      <c r="G37" s="2" t="inlineStr">
        <is>
          <t>2-0</t>
        </is>
      </c>
      <c r="H37" s="3" t="n">
        <v>14</v>
      </c>
      <c r="I37" s="4" t="inlineStr">
        <is>
          <t>WIN</t>
        </is>
      </c>
    </row>
    <row r="38">
      <c r="A38" s="2" t="n">
        <v>37</v>
      </c>
      <c r="B38" s="2" t="inlineStr">
        <is>
          <t>2024-2025</t>
        </is>
      </c>
      <c r="C38" s="2" t="inlineStr">
        <is>
          <t>09/11/2024</t>
        </is>
      </c>
      <c r="D38" s="2" t="inlineStr">
        <is>
          <t>Super League (GRE)</t>
        </is>
      </c>
      <c r="E38" s="2" t="inlineStr">
        <is>
          <t>AEK</t>
        </is>
      </c>
      <c r="F38" s="2" t="inlineStr">
        <is>
          <t>Asteras Tripolis</t>
        </is>
      </c>
      <c r="G38" s="2" t="inlineStr">
        <is>
          <t>3-0</t>
        </is>
      </c>
      <c r="H38" s="3" t="n">
        <v>13</v>
      </c>
      <c r="I38" s="4" t="inlineStr">
        <is>
          <t>WIN</t>
        </is>
      </c>
    </row>
    <row r="39">
      <c r="A39" s="2" t="n">
        <v>38</v>
      </c>
      <c r="B39" s="2" t="inlineStr">
        <is>
          <t>2024-2025</t>
        </is>
      </c>
      <c r="C39" s="2" t="inlineStr">
        <is>
          <t>10/11/2024</t>
        </is>
      </c>
      <c r="D39" s="2" t="inlineStr">
        <is>
          <t>Super Lig (TUR)</t>
        </is>
      </c>
      <c r="E39" s="2" t="inlineStr">
        <is>
          <t>Fenerbahce</t>
        </is>
      </c>
      <c r="F39" s="2" t="inlineStr">
        <is>
          <t>Sivasspor</t>
        </is>
      </c>
      <c r="G39" s="2" t="inlineStr">
        <is>
          <t>4-0</t>
        </is>
      </c>
      <c r="H39" s="3" t="n">
        <v>13</v>
      </c>
      <c r="I39" s="4" t="inlineStr">
        <is>
          <t>WIN</t>
        </is>
      </c>
    </row>
    <row r="40">
      <c r="A40" s="2" t="n">
        <v>39</v>
      </c>
      <c r="B40" s="2" t="inlineStr">
        <is>
          <t>2024-2025</t>
        </is>
      </c>
      <c r="C40" s="2" t="inlineStr">
        <is>
          <t>23/11/2024</t>
        </is>
      </c>
      <c r="D40" s="2" t="inlineStr">
        <is>
          <t>Eredivisie</t>
        </is>
      </c>
      <c r="E40" s="2" t="inlineStr">
        <is>
          <t>Feyenoord</t>
        </is>
      </c>
      <c r="F40" s="2" t="inlineStr">
        <is>
          <t>Heerenveen</t>
        </is>
      </c>
      <c r="G40" s="2" t="inlineStr">
        <is>
          <t>3-0</t>
        </is>
      </c>
      <c r="H40" s="3" t="n">
        <v>12</v>
      </c>
      <c r="I40" s="4" t="inlineStr">
        <is>
          <t>WIN</t>
        </is>
      </c>
    </row>
    <row r="41">
      <c r="A41" s="2" t="n">
        <v>40</v>
      </c>
      <c r="B41" s="2" t="inlineStr">
        <is>
          <t>2024-2025</t>
        </is>
      </c>
      <c r="C41" s="2" t="inlineStr">
        <is>
          <t>23/11/2024</t>
        </is>
      </c>
      <c r="D41" s="2" t="inlineStr">
        <is>
          <t>La Liga</t>
        </is>
      </c>
      <c r="E41" s="2" t="inlineStr">
        <is>
          <t>Ath Madrid</t>
        </is>
      </c>
      <c r="F41" s="2" t="inlineStr">
        <is>
          <t>Alaves</t>
        </is>
      </c>
      <c r="G41" s="2" t="inlineStr">
        <is>
          <t>2-1</t>
        </is>
      </c>
      <c r="H41" s="3" t="n">
        <v>11</v>
      </c>
      <c r="I41" s="4" t="inlineStr">
        <is>
          <t>WIN</t>
        </is>
      </c>
    </row>
    <row r="42">
      <c r="A42" s="2" t="n">
        <v>41</v>
      </c>
      <c r="B42" s="2" t="inlineStr">
        <is>
          <t>2024-2025</t>
        </is>
      </c>
      <c r="C42" s="2" t="inlineStr">
        <is>
          <t>26/11/2024</t>
        </is>
      </c>
      <c r="D42" s="2" t="inlineStr">
        <is>
          <t>Championship</t>
        </is>
      </c>
      <c r="E42" s="2" t="inlineStr">
        <is>
          <t>Sheffield United</t>
        </is>
      </c>
      <c r="F42" s="2" t="inlineStr">
        <is>
          <t>Oxford</t>
        </is>
      </c>
      <c r="G42" s="2" t="inlineStr">
        <is>
          <t>3-0</t>
        </is>
      </c>
      <c r="H42" s="3" t="n">
        <v>9.6</v>
      </c>
      <c r="I42" s="4" t="inlineStr">
        <is>
          <t>WIN</t>
        </is>
      </c>
    </row>
    <row r="43">
      <c r="A43" s="2" t="n">
        <v>42</v>
      </c>
      <c r="B43" s="2" t="inlineStr">
        <is>
          <t>2024-2025</t>
        </is>
      </c>
      <c r="C43" s="2" t="inlineStr">
        <is>
          <t>27/11/2024</t>
        </is>
      </c>
      <c r="D43" s="2" t="inlineStr">
        <is>
          <t>Championship</t>
        </is>
      </c>
      <c r="E43" s="2" t="inlineStr">
        <is>
          <t>Leeds</t>
        </is>
      </c>
      <c r="F43" s="2" t="inlineStr">
        <is>
          <t>Luton</t>
        </is>
      </c>
      <c r="G43" s="2" t="inlineStr">
        <is>
          <t>3-0</t>
        </is>
      </c>
      <c r="H43" s="3" t="n">
        <v>8.800000000000001</v>
      </c>
      <c r="I43" s="4" t="inlineStr">
        <is>
          <t>WIN</t>
        </is>
      </c>
    </row>
    <row r="44">
      <c r="A44" s="2" t="n">
        <v>43</v>
      </c>
      <c r="B44" s="2" t="inlineStr">
        <is>
          <t>2024-2025</t>
        </is>
      </c>
      <c r="C44" s="2" t="inlineStr">
        <is>
          <t>30/11/2024</t>
        </is>
      </c>
      <c r="D44" s="2" t="inlineStr">
        <is>
          <t>Eredivisie</t>
        </is>
      </c>
      <c r="E44" s="2" t="inlineStr">
        <is>
          <t>Feyenoord</t>
        </is>
      </c>
      <c r="F44" s="2" t="inlineStr">
        <is>
          <t>For Sittard</t>
        </is>
      </c>
      <c r="G44" s="2" t="inlineStr">
        <is>
          <t>1-1</t>
        </is>
      </c>
      <c r="H44" s="3" t="n">
        <v>13</v>
      </c>
      <c r="I44" s="4" t="inlineStr">
        <is>
          <t>WIN</t>
        </is>
      </c>
    </row>
    <row r="45">
      <c r="A45" s="2" t="n">
        <v>44</v>
      </c>
      <c r="B45" s="2" t="inlineStr">
        <is>
          <t>2024-2025</t>
        </is>
      </c>
      <c r="C45" s="2" t="inlineStr">
        <is>
          <t>30/11/2024</t>
        </is>
      </c>
      <c r="D45" s="2" t="inlineStr">
        <is>
          <t>Super League (GRE)</t>
        </is>
      </c>
      <c r="E45" s="2" t="inlineStr">
        <is>
          <t>AEK</t>
        </is>
      </c>
      <c r="F45" s="2" t="inlineStr">
        <is>
          <t>Aris</t>
        </is>
      </c>
      <c r="G45" s="2" t="inlineStr">
        <is>
          <t>4-0</t>
        </is>
      </c>
      <c r="H45" s="3" t="n">
        <v>8</v>
      </c>
      <c r="I45" s="4" t="inlineStr">
        <is>
          <t>WIN</t>
        </is>
      </c>
    </row>
    <row r="46">
      <c r="A46" s="2" t="n">
        <v>45</v>
      </c>
      <c r="B46" s="2" t="inlineStr">
        <is>
          <t>2024-2025</t>
        </is>
      </c>
      <c r="C46" s="2" t="inlineStr">
        <is>
          <t>01/12/2024</t>
        </is>
      </c>
      <c r="D46" s="2" t="inlineStr">
        <is>
          <t>La Liga</t>
        </is>
      </c>
      <c r="E46" s="2" t="inlineStr">
        <is>
          <t>Real Madrid</t>
        </is>
      </c>
      <c r="F46" s="2" t="inlineStr">
        <is>
          <t>Getafe</t>
        </is>
      </c>
      <c r="G46" s="2" t="inlineStr">
        <is>
          <t>2-0</t>
        </is>
      </c>
      <c r="H46" s="3" t="n">
        <v>11</v>
      </c>
      <c r="I46" s="4" t="inlineStr">
        <is>
          <t>WIN</t>
        </is>
      </c>
    </row>
    <row r="47">
      <c r="A47" s="2" t="n">
        <v>46</v>
      </c>
      <c r="B47" s="2" t="inlineStr">
        <is>
          <t>2024-2025</t>
        </is>
      </c>
      <c r="C47" s="2" t="inlineStr">
        <is>
          <t>01/12/2024</t>
        </is>
      </c>
      <c r="D47" s="2" t="inlineStr">
        <is>
          <t>Super Lig (TUR)</t>
        </is>
      </c>
      <c r="E47" s="2" t="inlineStr">
        <is>
          <t>Galatasaray</t>
        </is>
      </c>
      <c r="F47" s="2" t="inlineStr">
        <is>
          <t>Eyupspor</t>
        </is>
      </c>
      <c r="G47" s="2" t="inlineStr">
        <is>
          <t>2-2</t>
        </is>
      </c>
      <c r="H47" s="3" t="n">
        <v>10</v>
      </c>
      <c r="I47" s="4" t="inlineStr">
        <is>
          <t>WIN</t>
        </is>
      </c>
    </row>
    <row r="48">
      <c r="A48" s="2" t="n">
        <v>47</v>
      </c>
      <c r="B48" s="2" t="inlineStr">
        <is>
          <t>2024-2025</t>
        </is>
      </c>
      <c r="C48" s="2" t="inlineStr">
        <is>
          <t>06/12/2024</t>
        </is>
      </c>
      <c r="D48" s="2" t="inlineStr">
        <is>
          <t>Eredivisie</t>
        </is>
      </c>
      <c r="E48" s="2" t="inlineStr">
        <is>
          <t>PSV Eindhoven</t>
        </is>
      </c>
      <c r="F48" s="2" t="inlineStr">
        <is>
          <t>Twente</t>
        </is>
      </c>
      <c r="G48" s="2" t="inlineStr">
        <is>
          <t>6-1</t>
        </is>
      </c>
      <c r="H48" s="3" t="n">
        <v>9.4</v>
      </c>
      <c r="I48" s="4" t="inlineStr">
        <is>
          <t>WIN</t>
        </is>
      </c>
    </row>
    <row r="49">
      <c r="A49" s="2" t="n">
        <v>48</v>
      </c>
      <c r="B49" s="2" t="inlineStr">
        <is>
          <t>2024-2025</t>
        </is>
      </c>
      <c r="C49" s="2" t="inlineStr">
        <is>
          <t>07/12/2024</t>
        </is>
      </c>
      <c r="D49" s="2" t="inlineStr">
        <is>
          <t>Super Lig (TUR)</t>
        </is>
      </c>
      <c r="E49" s="2" t="inlineStr">
        <is>
          <t>Goztep</t>
        </is>
      </c>
      <c r="F49" s="2" t="inlineStr">
        <is>
          <t>Ad. Demirspor</t>
        </is>
      </c>
      <c r="G49" s="2" t="inlineStr">
        <is>
          <t>3-1</t>
        </is>
      </c>
      <c r="H49" s="3" t="n">
        <v>11.5</v>
      </c>
      <c r="I49" s="4" t="inlineStr">
        <is>
          <t>WIN</t>
        </is>
      </c>
    </row>
    <row r="50">
      <c r="A50" s="2" t="n">
        <v>49</v>
      </c>
      <c r="B50" s="2" t="inlineStr">
        <is>
          <t>2024-2025</t>
        </is>
      </c>
      <c r="C50" s="2" t="inlineStr">
        <is>
          <t>07/12/2024</t>
        </is>
      </c>
      <c r="D50" s="2" t="inlineStr">
        <is>
          <t>Liga Portugal</t>
        </is>
      </c>
      <c r="E50" s="2" t="inlineStr">
        <is>
          <t>Benfica</t>
        </is>
      </c>
      <c r="F50" s="2" t="inlineStr">
        <is>
          <t>Guimaraes</t>
        </is>
      </c>
      <c r="G50" s="2" t="inlineStr">
        <is>
          <t>1-0</t>
        </is>
      </c>
      <c r="H50" s="3" t="n">
        <v>10.5</v>
      </c>
      <c r="I50" s="4" t="inlineStr">
        <is>
          <t>WIN</t>
        </is>
      </c>
    </row>
    <row r="51">
      <c r="A51" s="2" t="n">
        <v>50</v>
      </c>
      <c r="B51" s="2" t="inlineStr">
        <is>
          <t>2024-2025</t>
        </is>
      </c>
      <c r="C51" s="2" t="inlineStr">
        <is>
          <t>08/12/2024</t>
        </is>
      </c>
      <c r="D51" s="2" t="inlineStr">
        <is>
          <t>La Liga</t>
        </is>
      </c>
      <c r="E51" s="2" t="inlineStr">
        <is>
          <t>Ath Madrid</t>
        </is>
      </c>
      <c r="F51" s="2" t="inlineStr">
        <is>
          <t>Sevilla</t>
        </is>
      </c>
      <c r="G51" s="2" t="inlineStr">
        <is>
          <t>4-3</t>
        </is>
      </c>
      <c r="H51" s="3" t="n">
        <v>9</v>
      </c>
      <c r="I51" s="4" t="inlineStr">
        <is>
          <t>WIN</t>
        </is>
      </c>
    </row>
    <row r="52">
      <c r="A52" s="2" t="n">
        <v>51</v>
      </c>
      <c r="B52" s="2" t="inlineStr">
        <is>
          <t>2024-2025</t>
        </is>
      </c>
      <c r="C52" s="2" t="inlineStr">
        <is>
          <t>15/12/2024</t>
        </is>
      </c>
      <c r="D52" s="2" t="inlineStr">
        <is>
          <t>La Liga</t>
        </is>
      </c>
      <c r="E52" s="2" t="inlineStr">
        <is>
          <t>Ath Madrid</t>
        </is>
      </c>
      <c r="F52" s="2" t="inlineStr">
        <is>
          <t>Getafe</t>
        </is>
      </c>
      <c r="G52" s="2" t="inlineStr">
        <is>
          <t>1-0</t>
        </is>
      </c>
      <c r="H52" s="3" t="n">
        <v>11</v>
      </c>
      <c r="I52" s="4" t="inlineStr">
        <is>
          <t>WIN</t>
        </is>
      </c>
    </row>
    <row r="53">
      <c r="A53" s="2" t="n">
        <v>52</v>
      </c>
      <c r="B53" s="2" t="inlineStr">
        <is>
          <t>2024-2025</t>
        </is>
      </c>
      <c r="C53" s="2" t="inlineStr">
        <is>
          <t>15/12/2024</t>
        </is>
      </c>
      <c r="D53" s="2" t="inlineStr">
        <is>
          <t>La Liga</t>
        </is>
      </c>
      <c r="E53" s="2" t="inlineStr">
        <is>
          <t>Sociedad</t>
        </is>
      </c>
      <c r="F53" s="2" t="inlineStr">
        <is>
          <t>Las Palmas</t>
        </is>
      </c>
      <c r="G53" s="2" t="inlineStr">
        <is>
          <t>0-0</t>
        </is>
      </c>
      <c r="H53" s="3" t="n">
        <v>10</v>
      </c>
      <c r="I53" s="4" t="inlineStr">
        <is>
          <t>WIN</t>
        </is>
      </c>
    </row>
    <row r="54">
      <c r="A54" s="2" t="n">
        <v>53</v>
      </c>
      <c r="B54" s="2" t="inlineStr">
        <is>
          <t>2024-2025</t>
        </is>
      </c>
      <c r="C54" s="2" t="inlineStr">
        <is>
          <t>17/12/2024</t>
        </is>
      </c>
      <c r="D54" s="2" t="inlineStr">
        <is>
          <t>Segunda</t>
        </is>
      </c>
      <c r="E54" s="2" t="inlineStr">
        <is>
          <t>Granada</t>
        </is>
      </c>
      <c r="F54" s="2" t="inlineStr">
        <is>
          <t>Cartagena</t>
        </is>
      </c>
      <c r="G54" s="2" t="inlineStr">
        <is>
          <t>4-1</t>
        </is>
      </c>
      <c r="H54" s="3" t="n">
        <v>11</v>
      </c>
      <c r="I54" s="4" t="inlineStr">
        <is>
          <t>WIN</t>
        </is>
      </c>
    </row>
    <row r="55">
      <c r="A55" s="2" t="n">
        <v>54</v>
      </c>
      <c r="B55" s="2" t="inlineStr">
        <is>
          <t>2024-2025</t>
        </is>
      </c>
      <c r="C55" s="2" t="inlineStr">
        <is>
          <t>20/12/2024</t>
        </is>
      </c>
      <c r="D55" s="2" t="inlineStr">
        <is>
          <t>La Liga</t>
        </is>
      </c>
      <c r="E55" s="2" t="inlineStr">
        <is>
          <t>Girona</t>
        </is>
      </c>
      <c r="F55" s="2" t="inlineStr">
        <is>
          <t>Valladolid</t>
        </is>
      </c>
      <c r="G55" s="2" t="inlineStr">
        <is>
          <t>3-0</t>
        </is>
      </c>
      <c r="H55" s="3" t="n">
        <v>9.199999999999999</v>
      </c>
      <c r="I55" s="4" t="inlineStr">
        <is>
          <t>WIN</t>
        </is>
      </c>
    </row>
    <row r="56">
      <c r="A56" s="2" t="n">
        <v>55</v>
      </c>
      <c r="B56" s="2" t="inlineStr">
        <is>
          <t>2024-2025</t>
        </is>
      </c>
      <c r="C56" s="2" t="inlineStr">
        <is>
          <t>22/12/2024</t>
        </is>
      </c>
      <c r="D56" s="2" t="inlineStr">
        <is>
          <t>La Liga</t>
        </is>
      </c>
      <c r="E56" s="2" t="inlineStr">
        <is>
          <t>Real Madrid</t>
        </is>
      </c>
      <c r="F56" s="2" t="inlineStr">
        <is>
          <t>Sevilla</t>
        </is>
      </c>
      <c r="G56" s="2" t="inlineStr">
        <is>
          <t>4-2</t>
        </is>
      </c>
      <c r="H56" s="3" t="n">
        <v>9.4</v>
      </c>
      <c r="I56" s="4" t="inlineStr">
        <is>
          <t>WIN</t>
        </is>
      </c>
    </row>
    <row r="57">
      <c r="A57" s="2" t="n">
        <v>56</v>
      </c>
      <c r="B57" s="2" t="inlineStr">
        <is>
          <t>2024-2025</t>
        </is>
      </c>
      <c r="C57" s="2" t="inlineStr">
        <is>
          <t>26/12/2024</t>
        </is>
      </c>
      <c r="D57" s="2" t="inlineStr">
        <is>
          <t>Championship</t>
        </is>
      </c>
      <c r="E57" s="2" t="inlineStr">
        <is>
          <t>Coventry</t>
        </is>
      </c>
      <c r="F57" s="2" t="inlineStr">
        <is>
          <t>Plymouth</t>
        </is>
      </c>
      <c r="G57" s="2" t="inlineStr">
        <is>
          <t>4-0</t>
        </is>
      </c>
      <c r="H57" s="3" t="n">
        <v>9.800000000000001</v>
      </c>
      <c r="I57" s="4" t="inlineStr">
        <is>
          <t>WIN</t>
        </is>
      </c>
    </row>
    <row r="58">
      <c r="A58" s="2" t="n">
        <v>57</v>
      </c>
      <c r="B58" s="2" t="inlineStr">
        <is>
          <t>2024-2025</t>
        </is>
      </c>
      <c r="C58" s="2" t="inlineStr">
        <is>
          <t>29/12/2024</t>
        </is>
      </c>
      <c r="D58" s="2" t="inlineStr">
        <is>
          <t>Liga Portugal</t>
        </is>
      </c>
      <c r="E58" s="2" t="inlineStr">
        <is>
          <t>Sp Braga</t>
        </is>
      </c>
      <c r="F58" s="2" t="inlineStr">
        <is>
          <t>Casa Pia</t>
        </is>
      </c>
      <c r="G58" s="2" t="inlineStr">
        <is>
          <t>1-2</t>
        </is>
      </c>
      <c r="H58" s="3" t="n">
        <v>8.4</v>
      </c>
      <c r="I58" s="5" t="inlineStr">
        <is>
          <t>LOSS</t>
        </is>
      </c>
    </row>
    <row r="59">
      <c r="A59" s="2" t="n">
        <v>58</v>
      </c>
      <c r="B59" s="2" t="inlineStr">
        <is>
          <t>2024-2025</t>
        </is>
      </c>
      <c r="C59" s="2" t="inlineStr">
        <is>
          <t>01/01/2025</t>
        </is>
      </c>
      <c r="D59" s="2" t="inlineStr">
        <is>
          <t>Championship</t>
        </is>
      </c>
      <c r="E59" s="2" t="inlineStr">
        <is>
          <t>Leeds</t>
        </is>
      </c>
      <c r="F59" s="2" t="inlineStr">
        <is>
          <t>Blackburn</t>
        </is>
      </c>
      <c r="G59" s="2" t="inlineStr">
        <is>
          <t>1-1</t>
        </is>
      </c>
      <c r="H59" s="3" t="n">
        <v>10</v>
      </c>
      <c r="I59" s="4" t="inlineStr">
        <is>
          <t>WIN</t>
        </is>
      </c>
    </row>
    <row r="60">
      <c r="A60" s="2" t="n">
        <v>59</v>
      </c>
      <c r="B60" s="2" t="inlineStr">
        <is>
          <t>2024-2025</t>
        </is>
      </c>
      <c r="C60" s="2" t="inlineStr">
        <is>
          <t>04/01/2025</t>
        </is>
      </c>
      <c r="D60" s="2" t="inlineStr">
        <is>
          <t>Super Lig (TUR)</t>
        </is>
      </c>
      <c r="E60" s="2" t="inlineStr">
        <is>
          <t>Galatasaray</t>
        </is>
      </c>
      <c r="F60" s="2" t="inlineStr">
        <is>
          <t>Goztep</t>
        </is>
      </c>
      <c r="G60" s="2" t="inlineStr">
        <is>
          <t>2-1</t>
        </is>
      </c>
      <c r="H60" s="3" t="n">
        <v>8.6</v>
      </c>
      <c r="I60" s="4" t="inlineStr">
        <is>
          <t>WIN</t>
        </is>
      </c>
    </row>
    <row r="61">
      <c r="A61" s="2" t="n">
        <v>60</v>
      </c>
      <c r="B61" s="2" t="inlineStr">
        <is>
          <t>2024-2025</t>
        </is>
      </c>
      <c r="C61" s="2" t="inlineStr">
        <is>
          <t>11/01/2025</t>
        </is>
      </c>
      <c r="D61" s="2" t="inlineStr">
        <is>
          <t>Super League (GRE)</t>
        </is>
      </c>
      <c r="E61" s="2" t="inlineStr">
        <is>
          <t>Olympiakos</t>
        </is>
      </c>
      <c r="F61" s="2" t="inlineStr">
        <is>
          <t>Aris</t>
        </is>
      </c>
      <c r="G61" s="2" t="inlineStr">
        <is>
          <t>2-1</t>
        </is>
      </c>
      <c r="H61" s="3" t="n">
        <v>10</v>
      </c>
      <c r="I61" s="4" t="inlineStr">
        <is>
          <t>WIN</t>
        </is>
      </c>
    </row>
    <row r="62">
      <c r="A62" s="2" t="n">
        <v>61</v>
      </c>
      <c r="B62" s="2" t="inlineStr">
        <is>
          <t>2024-2025</t>
        </is>
      </c>
      <c r="C62" s="2" t="inlineStr">
        <is>
          <t>12/01/2025</t>
        </is>
      </c>
      <c r="D62" s="2" t="inlineStr">
        <is>
          <t>La Liga</t>
        </is>
      </c>
      <c r="E62" s="2" t="inlineStr">
        <is>
          <t>Ath Madrid</t>
        </is>
      </c>
      <c r="F62" s="2" t="inlineStr">
        <is>
          <t>Osasuna</t>
        </is>
      </c>
      <c r="G62" s="2" t="inlineStr">
        <is>
          <t>1-0</t>
        </is>
      </c>
      <c r="H62" s="3" t="n">
        <v>12</v>
      </c>
      <c r="I62" s="4" t="inlineStr">
        <is>
          <t>WIN</t>
        </is>
      </c>
    </row>
    <row r="63">
      <c r="A63" s="2" t="n">
        <v>62</v>
      </c>
      <c r="B63" s="2" t="inlineStr">
        <is>
          <t>2024-2025</t>
        </is>
      </c>
      <c r="C63" s="2" t="inlineStr">
        <is>
          <t>17/01/2025</t>
        </is>
      </c>
      <c r="D63" s="2" t="inlineStr">
        <is>
          <t>Liga Portugal</t>
        </is>
      </c>
      <c r="E63" s="2" t="inlineStr">
        <is>
          <t>Benfica</t>
        </is>
      </c>
      <c r="F63" s="2" t="inlineStr">
        <is>
          <t>Famalicao</t>
        </is>
      </c>
      <c r="G63" s="2" t="inlineStr">
        <is>
          <t>4-0</t>
        </is>
      </c>
      <c r="H63" s="3" t="n">
        <v>14.5</v>
      </c>
      <c r="I63" s="4" t="inlineStr">
        <is>
          <t>WIN</t>
        </is>
      </c>
    </row>
    <row r="64">
      <c r="A64" s="2" t="n">
        <v>63</v>
      </c>
      <c r="B64" s="2" t="inlineStr">
        <is>
          <t>2024-2025</t>
        </is>
      </c>
      <c r="C64" s="2" t="inlineStr">
        <is>
          <t>19/01/2025</t>
        </is>
      </c>
      <c r="D64" s="2" t="inlineStr">
        <is>
          <t>Championship</t>
        </is>
      </c>
      <c r="E64" s="2" t="inlineStr">
        <is>
          <t>Leeds</t>
        </is>
      </c>
      <c r="F64" s="2" t="inlineStr">
        <is>
          <t>Sheffield Weds</t>
        </is>
      </c>
      <c r="G64" s="2" t="inlineStr">
        <is>
          <t>3-0</t>
        </is>
      </c>
      <c r="H64" s="3" t="n">
        <v>8.4</v>
      </c>
      <c r="I64" s="4" t="inlineStr">
        <is>
          <t>WIN</t>
        </is>
      </c>
    </row>
    <row r="65">
      <c r="A65" s="2" t="n">
        <v>64</v>
      </c>
      <c r="B65" s="2" t="inlineStr">
        <is>
          <t>2024-2025</t>
        </is>
      </c>
      <c r="C65" s="2" t="inlineStr">
        <is>
          <t>22/01/2025</t>
        </is>
      </c>
      <c r="D65" s="2" t="inlineStr">
        <is>
          <t>Championship</t>
        </is>
      </c>
      <c r="E65" s="2" t="inlineStr">
        <is>
          <t>Leeds</t>
        </is>
      </c>
      <c r="F65" s="2" t="inlineStr">
        <is>
          <t>Norwich</t>
        </is>
      </c>
      <c r="G65" s="2" t="inlineStr">
        <is>
          <t>2-0</t>
        </is>
      </c>
      <c r="H65" s="3" t="n">
        <v>9</v>
      </c>
      <c r="I65" s="4" t="inlineStr">
        <is>
          <t>WIN</t>
        </is>
      </c>
    </row>
    <row r="66">
      <c r="A66" s="2" t="n">
        <v>65</v>
      </c>
      <c r="B66" s="2" t="inlineStr">
        <is>
          <t>2024-2025</t>
        </is>
      </c>
      <c r="C66" s="2" t="inlineStr">
        <is>
          <t>25/01/2025</t>
        </is>
      </c>
      <c r="D66" s="2" t="inlineStr">
        <is>
          <t>Championship</t>
        </is>
      </c>
      <c r="E66" s="2" t="inlineStr">
        <is>
          <t>Sunderland</t>
        </is>
      </c>
      <c r="F66" s="2" t="inlineStr">
        <is>
          <t>Plymouth</t>
        </is>
      </c>
      <c r="G66" s="2" t="inlineStr">
        <is>
          <t>2-2</t>
        </is>
      </c>
      <c r="H66" s="3" t="n">
        <v>13</v>
      </c>
      <c r="I66" s="4" t="inlineStr">
        <is>
          <t>WIN</t>
        </is>
      </c>
    </row>
    <row r="67">
      <c r="A67" s="2" t="n">
        <v>66</v>
      </c>
      <c r="B67" s="2" t="inlineStr">
        <is>
          <t>2024-2025</t>
        </is>
      </c>
      <c r="C67" s="2" t="inlineStr">
        <is>
          <t>25/01/2025</t>
        </is>
      </c>
      <c r="D67" s="2" t="inlineStr">
        <is>
          <t>Super Lig (TUR)</t>
        </is>
      </c>
      <c r="E67" s="2" t="inlineStr">
        <is>
          <t>Galatasaray</t>
        </is>
      </c>
      <c r="F67" s="2" t="inlineStr">
        <is>
          <t>Konyaspor</t>
        </is>
      </c>
      <c r="G67" s="2" t="inlineStr">
        <is>
          <t>1-0</t>
        </is>
      </c>
      <c r="H67" s="3" t="n">
        <v>13</v>
      </c>
      <c r="I67" s="4" t="inlineStr">
        <is>
          <t>WIN</t>
        </is>
      </c>
    </row>
    <row r="68">
      <c r="A68" s="2" t="n">
        <v>67</v>
      </c>
      <c r="B68" s="2" t="inlineStr">
        <is>
          <t>2024-2025</t>
        </is>
      </c>
      <c r="C68" s="2" t="inlineStr">
        <is>
          <t>26/01/2025</t>
        </is>
      </c>
      <c r="D68" s="2" t="inlineStr">
        <is>
          <t>La Liga</t>
        </is>
      </c>
      <c r="E68" s="2" t="inlineStr">
        <is>
          <t>Ath Bilbao</t>
        </is>
      </c>
      <c r="F68" s="2" t="inlineStr">
        <is>
          <t>Leganes</t>
        </is>
      </c>
      <c r="G68" s="2" t="inlineStr">
        <is>
          <t>0-0</t>
        </is>
      </c>
      <c r="H68" s="3" t="n">
        <v>10.5</v>
      </c>
      <c r="I68" s="4" t="inlineStr">
        <is>
          <t>WIN</t>
        </is>
      </c>
    </row>
    <row r="69">
      <c r="A69" s="2" t="n">
        <v>68</v>
      </c>
      <c r="B69" s="2" t="inlineStr">
        <is>
          <t>2024-2025</t>
        </is>
      </c>
      <c r="C69" s="2" t="inlineStr">
        <is>
          <t>26/01/2025</t>
        </is>
      </c>
      <c r="D69" s="2" t="inlineStr">
        <is>
          <t>Super Lig (TUR)</t>
        </is>
      </c>
      <c r="E69" s="2" t="inlineStr">
        <is>
          <t>Rizespor</t>
        </is>
      </c>
      <c r="F69" s="2" t="inlineStr">
        <is>
          <t>Ad. Demirspor</t>
        </is>
      </c>
      <c r="G69" s="2" t="inlineStr">
        <is>
          <t>3-2</t>
        </is>
      </c>
      <c r="H69" s="3" t="n">
        <v>9.800000000000001</v>
      </c>
      <c r="I69" s="4" t="inlineStr">
        <is>
          <t>WIN</t>
        </is>
      </c>
    </row>
    <row r="70">
      <c r="A70" s="2" t="n">
        <v>69</v>
      </c>
      <c r="B70" s="2" t="inlineStr">
        <is>
          <t>2024-2025</t>
        </is>
      </c>
      <c r="C70" s="2" t="inlineStr">
        <is>
          <t>01/02/2025</t>
        </is>
      </c>
      <c r="D70" s="2" t="inlineStr">
        <is>
          <t>La Liga</t>
        </is>
      </c>
      <c r="E70" s="2" t="inlineStr">
        <is>
          <t>Villarreal</t>
        </is>
      </c>
      <c r="F70" s="2" t="inlineStr">
        <is>
          <t>Valladolid</t>
        </is>
      </c>
      <c r="G70" s="2" t="inlineStr">
        <is>
          <t>5-1</t>
        </is>
      </c>
      <c r="H70" s="3" t="n">
        <v>14</v>
      </c>
      <c r="I70" s="4" t="inlineStr">
        <is>
          <t>WIN</t>
        </is>
      </c>
    </row>
    <row r="71">
      <c r="A71" s="2" t="n">
        <v>70</v>
      </c>
      <c r="B71" s="2" t="inlineStr">
        <is>
          <t>2024-2025</t>
        </is>
      </c>
      <c r="C71" s="2" t="inlineStr">
        <is>
          <t>01/02/2025</t>
        </is>
      </c>
      <c r="D71" s="2" t="inlineStr">
        <is>
          <t>Championship</t>
        </is>
      </c>
      <c r="E71" s="2" t="inlineStr">
        <is>
          <t>Leeds</t>
        </is>
      </c>
      <c r="F71" s="2" t="inlineStr">
        <is>
          <t>Cardiff</t>
        </is>
      </c>
      <c r="G71" s="2" t="inlineStr">
        <is>
          <t>7-0</t>
        </is>
      </c>
      <c r="H71" s="3" t="n">
        <v>13</v>
      </c>
      <c r="I71" s="4" t="inlineStr">
        <is>
          <t>WIN</t>
        </is>
      </c>
    </row>
    <row r="72">
      <c r="A72" s="2" t="n">
        <v>71</v>
      </c>
      <c r="B72" s="2" t="inlineStr">
        <is>
          <t>2024-2025</t>
        </is>
      </c>
      <c r="C72" s="2" t="inlineStr">
        <is>
          <t>02/02/2025</t>
        </is>
      </c>
      <c r="D72" s="2" t="inlineStr">
        <is>
          <t>Super Lig (TUR)</t>
        </is>
      </c>
      <c r="E72" s="2" t="inlineStr">
        <is>
          <t>Fenerbahce</t>
        </is>
      </c>
      <c r="F72" s="2" t="inlineStr">
        <is>
          <t>Rizespor</t>
        </is>
      </c>
      <c r="G72" s="2" t="inlineStr">
        <is>
          <t>3-2</t>
        </is>
      </c>
      <c r="H72" s="3" t="n">
        <v>9</v>
      </c>
      <c r="I72" s="4" t="inlineStr">
        <is>
          <t>WIN</t>
        </is>
      </c>
    </row>
    <row r="73">
      <c r="A73" s="2" t="n">
        <v>72</v>
      </c>
      <c r="B73" s="2" t="inlineStr">
        <is>
          <t>2024-2025</t>
        </is>
      </c>
      <c r="C73" s="2" t="inlineStr">
        <is>
          <t>04/02/2025</t>
        </is>
      </c>
      <c r="D73" s="2" t="inlineStr">
        <is>
          <t>Championship</t>
        </is>
      </c>
      <c r="E73" s="2" t="inlineStr">
        <is>
          <t>Burnley</t>
        </is>
      </c>
      <c r="F73" s="2" t="inlineStr">
        <is>
          <t>Oxford</t>
        </is>
      </c>
      <c r="G73" s="2" t="inlineStr">
        <is>
          <t>1-0</t>
        </is>
      </c>
      <c r="H73" s="3" t="n">
        <v>8.800000000000001</v>
      </c>
      <c r="I73" s="4" t="inlineStr">
        <is>
          <t>WIN</t>
        </is>
      </c>
    </row>
    <row r="74">
      <c r="A74" s="2" t="n">
        <v>73</v>
      </c>
      <c r="B74" s="2" t="inlineStr">
        <is>
          <t>2024-2025</t>
        </is>
      </c>
      <c r="C74" s="2" t="inlineStr">
        <is>
          <t>07/02/2025</t>
        </is>
      </c>
      <c r="D74" s="2" t="inlineStr">
        <is>
          <t>La Liga</t>
        </is>
      </c>
      <c r="E74" s="2" t="inlineStr">
        <is>
          <t>Vallecano</t>
        </is>
      </c>
      <c r="F74" s="2" t="inlineStr">
        <is>
          <t>Valladolid</t>
        </is>
      </c>
      <c r="G74" s="2" t="inlineStr">
        <is>
          <t>1-0</t>
        </is>
      </c>
      <c r="H74" s="3" t="n">
        <v>8.199999999999999</v>
      </c>
      <c r="I74" s="4" t="inlineStr">
        <is>
          <t>WIN</t>
        </is>
      </c>
    </row>
    <row r="75">
      <c r="A75" s="2" t="n">
        <v>74</v>
      </c>
      <c r="B75" s="2" t="inlineStr">
        <is>
          <t>2024-2025</t>
        </is>
      </c>
      <c r="C75" s="2" t="inlineStr">
        <is>
          <t>09/02/2025</t>
        </is>
      </c>
      <c r="D75" s="2" t="inlineStr">
        <is>
          <t>Super Lig (TUR)</t>
        </is>
      </c>
      <c r="E75" s="2" t="inlineStr">
        <is>
          <t>Galatasaray</t>
        </is>
      </c>
      <c r="F75" s="2" t="inlineStr">
        <is>
          <t>Ad. Demirspor</t>
        </is>
      </c>
      <c r="G75" s="2" t="inlineStr">
        <is>
          <t>3-0</t>
        </is>
      </c>
      <c r="H75" s="3" t="n">
        <v>10</v>
      </c>
      <c r="I75" s="4" t="inlineStr">
        <is>
          <t>WIN</t>
        </is>
      </c>
    </row>
    <row r="76">
      <c r="A76" s="2" t="n">
        <v>75</v>
      </c>
      <c r="B76" s="2" t="inlineStr">
        <is>
          <t>2024-2025</t>
        </is>
      </c>
      <c r="C76" s="2" t="inlineStr">
        <is>
          <t>09/02/2025</t>
        </is>
      </c>
      <c r="D76" s="2" t="inlineStr">
        <is>
          <t>Eredivisie</t>
        </is>
      </c>
      <c r="E76" s="2" t="inlineStr">
        <is>
          <t>Utrecht</t>
        </is>
      </c>
      <c r="F76" s="2" t="inlineStr">
        <is>
          <t>Almere City</t>
        </is>
      </c>
      <c r="G76" s="2" t="inlineStr">
        <is>
          <t>0-1</t>
        </is>
      </c>
      <c r="H76" s="3" t="n">
        <v>9</v>
      </c>
      <c r="I76" s="5" t="inlineStr">
        <is>
          <t>LOSS</t>
        </is>
      </c>
    </row>
    <row r="77">
      <c r="A77" s="2" t="n">
        <v>76</v>
      </c>
      <c r="B77" s="2" t="inlineStr">
        <is>
          <t>2024-2025</t>
        </is>
      </c>
      <c r="C77" s="2" t="inlineStr">
        <is>
          <t>15/02/2025</t>
        </is>
      </c>
      <c r="D77" s="2" t="inlineStr">
        <is>
          <t>Liga Portugal</t>
        </is>
      </c>
      <c r="E77" s="2" t="inlineStr">
        <is>
          <t>Sp Lisbon</t>
        </is>
      </c>
      <c r="F77" s="2" t="inlineStr">
        <is>
          <t>Arouca</t>
        </is>
      </c>
      <c r="G77" s="2" t="inlineStr">
        <is>
          <t>2-2</t>
        </is>
      </c>
      <c r="H77" s="3" t="n">
        <v>12.5</v>
      </c>
      <c r="I77" s="4" t="inlineStr">
        <is>
          <t>WIN</t>
        </is>
      </c>
    </row>
    <row r="78">
      <c r="A78" s="2" t="n">
        <v>77</v>
      </c>
      <c r="B78" s="2" t="inlineStr">
        <is>
          <t>2024-2025</t>
        </is>
      </c>
      <c r="C78" s="2" t="inlineStr">
        <is>
          <t>15/02/2025</t>
        </is>
      </c>
      <c r="D78" s="2" t="inlineStr">
        <is>
          <t>La Liga</t>
        </is>
      </c>
      <c r="E78" s="2" t="inlineStr">
        <is>
          <t>Ath Madrid</t>
        </is>
      </c>
      <c r="F78" s="2" t="inlineStr">
        <is>
          <t>Celta</t>
        </is>
      </c>
      <c r="G78" s="2" t="inlineStr">
        <is>
          <t>1-1</t>
        </is>
      </c>
      <c r="H78" s="3" t="n">
        <v>9</v>
      </c>
      <c r="I78" s="4" t="inlineStr">
        <is>
          <t>WIN</t>
        </is>
      </c>
    </row>
    <row r="79">
      <c r="A79" s="2" t="n">
        <v>78</v>
      </c>
      <c r="B79" s="2" t="inlineStr">
        <is>
          <t>2024-2025</t>
        </is>
      </c>
      <c r="C79" s="2" t="inlineStr">
        <is>
          <t>16/02/2025</t>
        </is>
      </c>
      <c r="D79" s="2" t="inlineStr">
        <is>
          <t>Eredivisie</t>
        </is>
      </c>
      <c r="E79" s="2" t="inlineStr">
        <is>
          <t>Ajax</t>
        </is>
      </c>
      <c r="F79" s="2" t="inlineStr">
        <is>
          <t>Heracles</t>
        </is>
      </c>
      <c r="G79" s="2" t="inlineStr">
        <is>
          <t>4-0</t>
        </is>
      </c>
      <c r="H79" s="3" t="n">
        <v>13.5</v>
      </c>
      <c r="I79" s="4" t="inlineStr">
        <is>
          <t>WIN</t>
        </is>
      </c>
    </row>
    <row r="80">
      <c r="A80" s="2" t="n">
        <v>79</v>
      </c>
      <c r="B80" s="2" t="inlineStr">
        <is>
          <t>2024-2025</t>
        </is>
      </c>
      <c r="C80" s="2" t="inlineStr">
        <is>
          <t>16/02/2025</t>
        </is>
      </c>
      <c r="D80" s="2" t="inlineStr">
        <is>
          <t>Super Lig (TUR)</t>
        </is>
      </c>
      <c r="E80" s="2" t="inlineStr">
        <is>
          <t>Fenerbahce</t>
        </is>
      </c>
      <c r="F80" s="2" t="inlineStr">
        <is>
          <t>Kasimpasa</t>
        </is>
      </c>
      <c r="G80" s="2" t="inlineStr">
        <is>
          <t>3-1</t>
        </is>
      </c>
      <c r="H80" s="3" t="n">
        <v>11.5</v>
      </c>
      <c r="I80" s="4" t="inlineStr">
        <is>
          <t>WIN</t>
        </is>
      </c>
    </row>
    <row r="81">
      <c r="A81" s="2" t="n">
        <v>80</v>
      </c>
      <c r="B81" s="2" t="inlineStr">
        <is>
          <t>2024-2025</t>
        </is>
      </c>
      <c r="C81" s="2" t="inlineStr">
        <is>
          <t>17/02/2025</t>
        </is>
      </c>
      <c r="D81" s="2" t="inlineStr">
        <is>
          <t>La Liga</t>
        </is>
      </c>
      <c r="E81" s="2" t="inlineStr">
        <is>
          <t>Barcelona</t>
        </is>
      </c>
      <c r="F81" s="2" t="inlineStr">
        <is>
          <t>Vallecano</t>
        </is>
      </c>
      <c r="G81" s="2" t="inlineStr">
        <is>
          <t>1-0</t>
        </is>
      </c>
      <c r="H81" s="3" t="n">
        <v>13</v>
      </c>
      <c r="I81" s="4" t="inlineStr">
        <is>
          <t>WIN</t>
        </is>
      </c>
    </row>
    <row r="82">
      <c r="A82" s="2" t="n">
        <v>81</v>
      </c>
      <c r="B82" s="2" t="inlineStr">
        <is>
          <t>2024-2025</t>
        </is>
      </c>
      <c r="C82" s="2" t="inlineStr">
        <is>
          <t>22/02/2025</t>
        </is>
      </c>
      <c r="D82" s="2" t="inlineStr">
        <is>
          <t>Eredivisie</t>
        </is>
      </c>
      <c r="E82" s="2" t="inlineStr">
        <is>
          <t>Feyenoord</t>
        </is>
      </c>
      <c r="F82" s="2" t="inlineStr">
        <is>
          <t>Almere City</t>
        </is>
      </c>
      <c r="G82" s="2" t="inlineStr">
        <is>
          <t>2-1</t>
        </is>
      </c>
      <c r="H82" s="3" t="n">
        <v>14.5</v>
      </c>
      <c r="I82" s="4" t="inlineStr">
        <is>
          <t>WIN</t>
        </is>
      </c>
    </row>
    <row r="83">
      <c r="A83" s="2" t="n">
        <v>82</v>
      </c>
      <c r="B83" s="2" t="inlineStr">
        <is>
          <t>2024-2025</t>
        </is>
      </c>
      <c r="C83" s="2" t="inlineStr">
        <is>
          <t>23/02/2025</t>
        </is>
      </c>
      <c r="D83" s="2" t="inlineStr">
        <is>
          <t>Segunda</t>
        </is>
      </c>
      <c r="E83" s="2" t="inlineStr">
        <is>
          <t>Elche</t>
        </is>
      </c>
      <c r="F83" s="2" t="inlineStr">
        <is>
          <t>Cartagena</t>
        </is>
      </c>
      <c r="G83" s="2" t="inlineStr">
        <is>
          <t>2-1</t>
        </is>
      </c>
      <c r="H83" s="3" t="n">
        <v>13</v>
      </c>
      <c r="I83" s="4" t="inlineStr">
        <is>
          <t>WIN</t>
        </is>
      </c>
    </row>
    <row r="84">
      <c r="A84" s="2" t="n">
        <v>83</v>
      </c>
      <c r="B84" s="2" t="inlineStr">
        <is>
          <t>2024-2025</t>
        </is>
      </c>
      <c r="C84" s="2" t="inlineStr">
        <is>
          <t>23/02/2025</t>
        </is>
      </c>
      <c r="D84" s="2" t="inlineStr">
        <is>
          <t>La Liga</t>
        </is>
      </c>
      <c r="E84" s="2" t="inlineStr">
        <is>
          <t>Real Madrid</t>
        </is>
      </c>
      <c r="F84" s="2" t="inlineStr">
        <is>
          <t>Girona</t>
        </is>
      </c>
      <c r="G84" s="2" t="inlineStr">
        <is>
          <t>2-0</t>
        </is>
      </c>
      <c r="H84" s="3" t="n">
        <v>10.5</v>
      </c>
      <c r="I84" s="4" t="inlineStr">
        <is>
          <t>WIN</t>
        </is>
      </c>
    </row>
    <row r="85">
      <c r="A85" s="2" t="n">
        <v>84</v>
      </c>
      <c r="B85" s="2" t="inlineStr">
        <is>
          <t>2024-2025</t>
        </is>
      </c>
      <c r="C85" s="2" t="inlineStr">
        <is>
          <t>01/03/2025</t>
        </is>
      </c>
      <c r="D85" s="2" t="inlineStr">
        <is>
          <t>Championship</t>
        </is>
      </c>
      <c r="E85" s="2" t="inlineStr">
        <is>
          <t>Leeds</t>
        </is>
      </c>
      <c r="F85" s="2" t="inlineStr">
        <is>
          <t>West Brom</t>
        </is>
      </c>
      <c r="G85" s="2" t="inlineStr">
        <is>
          <t>1-1</t>
        </is>
      </c>
      <c r="H85" s="3" t="n">
        <v>9.800000000000001</v>
      </c>
      <c r="I85" s="4" t="inlineStr">
        <is>
          <t>WIN</t>
        </is>
      </c>
    </row>
    <row r="86">
      <c r="A86" s="2" t="n">
        <v>85</v>
      </c>
      <c r="B86" s="2" t="inlineStr">
        <is>
          <t>2024-2025</t>
        </is>
      </c>
      <c r="C86" s="2" t="inlineStr">
        <is>
          <t>01/03/2025</t>
        </is>
      </c>
      <c r="D86" s="2" t="inlineStr">
        <is>
          <t>Segunda</t>
        </is>
      </c>
      <c r="E86" s="2" t="inlineStr">
        <is>
          <t>Huesca</t>
        </is>
      </c>
      <c r="F86" s="2" t="inlineStr">
        <is>
          <t>Ferrol</t>
        </is>
      </c>
      <c r="G86" s="2" t="inlineStr">
        <is>
          <t>3-1</t>
        </is>
      </c>
      <c r="H86" s="3" t="n">
        <v>8</v>
      </c>
      <c r="I86" s="4" t="inlineStr">
        <is>
          <t>WIN</t>
        </is>
      </c>
    </row>
    <row r="87">
      <c r="A87" s="2" t="n">
        <v>86</v>
      </c>
      <c r="B87" s="2" t="inlineStr">
        <is>
          <t>2024-2025</t>
        </is>
      </c>
      <c r="C87" s="2" t="inlineStr">
        <is>
          <t>02/03/2025</t>
        </is>
      </c>
      <c r="D87" s="2" t="inlineStr">
        <is>
          <t>La Liga</t>
        </is>
      </c>
      <c r="E87" s="2" t="inlineStr">
        <is>
          <t>Barcelona</t>
        </is>
      </c>
      <c r="F87" s="2" t="inlineStr">
        <is>
          <t>Sociedad</t>
        </is>
      </c>
      <c r="G87" s="2" t="inlineStr">
        <is>
          <t>4-0</t>
        </is>
      </c>
      <c r="H87" s="3" t="n">
        <v>14</v>
      </c>
      <c r="I87" s="4" t="inlineStr">
        <is>
          <t>WIN</t>
        </is>
      </c>
    </row>
    <row r="88">
      <c r="A88" s="2" t="n">
        <v>87</v>
      </c>
      <c r="B88" s="2" t="inlineStr">
        <is>
          <t>2024-2025</t>
        </is>
      </c>
      <c r="C88" s="2" t="inlineStr">
        <is>
          <t>02/03/2025</t>
        </is>
      </c>
      <c r="D88" s="2" t="inlineStr">
        <is>
          <t>Super Lig (TUR)</t>
        </is>
      </c>
      <c r="E88" s="2" t="inlineStr">
        <is>
          <t>Fenerbahce</t>
        </is>
      </c>
      <c r="F88" s="2" t="inlineStr">
        <is>
          <t>Antalyaspor</t>
        </is>
      </c>
      <c r="G88" s="2" t="inlineStr">
        <is>
          <t>3-0</t>
        </is>
      </c>
      <c r="H88" s="3" t="n">
        <v>12.5</v>
      </c>
      <c r="I88" s="4" t="inlineStr">
        <is>
          <t>WIN</t>
        </is>
      </c>
    </row>
    <row r="89">
      <c r="A89" s="2" t="n">
        <v>88</v>
      </c>
      <c r="B89" s="2" t="inlineStr">
        <is>
          <t>2024-2025</t>
        </is>
      </c>
      <c r="C89" s="2" t="inlineStr">
        <is>
          <t>08/03/2025</t>
        </is>
      </c>
      <c r="D89" s="2" t="inlineStr">
        <is>
          <t>Liga Portugal</t>
        </is>
      </c>
      <c r="E89" s="2" t="inlineStr">
        <is>
          <t>Benfica</t>
        </is>
      </c>
      <c r="F89" s="2" t="inlineStr">
        <is>
          <t>Nacional</t>
        </is>
      </c>
      <c r="G89" s="2" t="inlineStr">
        <is>
          <t>3-0</t>
        </is>
      </c>
      <c r="H89" s="3" t="n">
        <v>12.5</v>
      </c>
      <c r="I89" s="4" t="inlineStr">
        <is>
          <t>WIN</t>
        </is>
      </c>
    </row>
    <row r="90">
      <c r="A90" s="2" t="n">
        <v>89</v>
      </c>
      <c r="B90" s="2" t="inlineStr">
        <is>
          <t>2024-2025</t>
        </is>
      </c>
      <c r="C90" s="2" t="inlineStr">
        <is>
          <t>08/03/2025</t>
        </is>
      </c>
      <c r="D90" s="2" t="inlineStr">
        <is>
          <t>Eredivisie</t>
        </is>
      </c>
      <c r="E90" s="2" t="inlineStr">
        <is>
          <t>PSV Eindhoven</t>
        </is>
      </c>
      <c r="F90" s="2" t="inlineStr">
        <is>
          <t>Heerenveen</t>
        </is>
      </c>
      <c r="G90" s="2" t="inlineStr">
        <is>
          <t>2-1</t>
        </is>
      </c>
      <c r="H90" s="3" t="n">
        <v>11.5</v>
      </c>
      <c r="I90" s="4" t="inlineStr">
        <is>
          <t>WIN</t>
        </is>
      </c>
    </row>
    <row r="91">
      <c r="A91" s="2" t="n">
        <v>90</v>
      </c>
      <c r="B91" s="2" t="inlineStr">
        <is>
          <t>2024-2025</t>
        </is>
      </c>
      <c r="C91" s="2" t="inlineStr">
        <is>
          <t>09/03/2025</t>
        </is>
      </c>
      <c r="D91" s="2" t="inlineStr">
        <is>
          <t>La Liga</t>
        </is>
      </c>
      <c r="E91" s="2" t="inlineStr">
        <is>
          <t>Real Madrid</t>
        </is>
      </c>
      <c r="F91" s="2" t="inlineStr">
        <is>
          <t>Vallecano</t>
        </is>
      </c>
      <c r="G91" s="2" t="inlineStr">
        <is>
          <t>2-1</t>
        </is>
      </c>
      <c r="H91" s="3" t="n">
        <v>11.5</v>
      </c>
      <c r="I91" s="4" t="inlineStr">
        <is>
          <t>WIN</t>
        </is>
      </c>
    </row>
    <row r="92">
      <c r="A92" s="2" t="n">
        <v>91</v>
      </c>
      <c r="B92" s="2" t="inlineStr">
        <is>
          <t>2024-2025</t>
        </is>
      </c>
      <c r="C92" s="2" t="inlineStr">
        <is>
          <t>09/03/2025</t>
        </is>
      </c>
      <c r="D92" s="2" t="inlineStr">
        <is>
          <t>Segunda</t>
        </is>
      </c>
      <c r="E92" s="2" t="inlineStr">
        <is>
          <t>Levante</t>
        </is>
      </c>
      <c r="F92" s="2" t="inlineStr">
        <is>
          <t>Cartagena</t>
        </is>
      </c>
      <c r="G92" s="2" t="inlineStr">
        <is>
          <t>3-0</t>
        </is>
      </c>
      <c r="H92" s="3" t="n">
        <v>10.5</v>
      </c>
      <c r="I92" s="4" t="inlineStr">
        <is>
          <t>WIN</t>
        </is>
      </c>
    </row>
    <row r="93">
      <c r="A93" s="2" t="n">
        <v>92</v>
      </c>
      <c r="B93" s="2" t="inlineStr">
        <is>
          <t>2024-2025</t>
        </is>
      </c>
      <c r="C93" s="2" t="inlineStr">
        <is>
          <t>12/03/2025</t>
        </is>
      </c>
      <c r="D93" s="2" t="inlineStr">
        <is>
          <t>Championship</t>
        </is>
      </c>
      <c r="E93" s="2" t="inlineStr">
        <is>
          <t>Leeds</t>
        </is>
      </c>
      <c r="F93" s="2" t="inlineStr">
        <is>
          <t>Millwall</t>
        </is>
      </c>
      <c r="G93" s="2" t="inlineStr">
        <is>
          <t>2-0</t>
        </is>
      </c>
      <c r="H93" s="3" t="n">
        <v>12.5</v>
      </c>
      <c r="I93" s="4" t="inlineStr">
        <is>
          <t>WIN</t>
        </is>
      </c>
    </row>
    <row r="94">
      <c r="A94" s="2" t="n">
        <v>93</v>
      </c>
      <c r="B94" s="2" t="inlineStr">
        <is>
          <t>2024-2025</t>
        </is>
      </c>
      <c r="C94" s="2" t="inlineStr">
        <is>
          <t>14/03/2025</t>
        </is>
      </c>
      <c r="D94" s="2" t="inlineStr">
        <is>
          <t>Super Lig (TUR)</t>
        </is>
      </c>
      <c r="E94" s="2" t="inlineStr">
        <is>
          <t>Galatasaray</t>
        </is>
      </c>
      <c r="F94" s="2" t="inlineStr">
        <is>
          <t>Antalyaspor</t>
        </is>
      </c>
      <c r="G94" s="2" t="inlineStr">
        <is>
          <t>4-0</t>
        </is>
      </c>
      <c r="H94" s="3" t="n">
        <v>11.5</v>
      </c>
      <c r="I94" s="4" t="inlineStr">
        <is>
          <t>WIN</t>
        </is>
      </c>
    </row>
    <row r="95">
      <c r="A95" s="2" t="n">
        <v>94</v>
      </c>
      <c r="B95" s="2" t="inlineStr">
        <is>
          <t>2024-2025</t>
        </is>
      </c>
      <c r="C95" s="2" t="inlineStr">
        <is>
          <t>15/03/2025</t>
        </is>
      </c>
      <c r="D95" s="2" t="inlineStr">
        <is>
          <t>Liga Portugal</t>
        </is>
      </c>
      <c r="E95" s="2" t="inlineStr">
        <is>
          <t>Porto</t>
        </is>
      </c>
      <c r="F95" s="2" t="inlineStr">
        <is>
          <t>AVS</t>
        </is>
      </c>
      <c r="G95" s="2" t="inlineStr">
        <is>
          <t>2-0</t>
        </is>
      </c>
      <c r="H95" s="3" t="n">
        <v>14.5</v>
      </c>
      <c r="I95" s="4" t="inlineStr">
        <is>
          <t>WIN</t>
        </is>
      </c>
    </row>
    <row r="96">
      <c r="A96" s="2" t="n">
        <v>95</v>
      </c>
      <c r="B96" s="2" t="inlineStr">
        <is>
          <t>2024-2025</t>
        </is>
      </c>
      <c r="C96" s="2" t="inlineStr">
        <is>
          <t>15/03/2025</t>
        </is>
      </c>
      <c r="D96" s="2" t="inlineStr">
        <is>
          <t>Liga Portugal</t>
        </is>
      </c>
      <c r="E96" s="2" t="inlineStr">
        <is>
          <t>Sp Lisbon</t>
        </is>
      </c>
      <c r="F96" s="2" t="inlineStr">
        <is>
          <t>Famalicao</t>
        </is>
      </c>
      <c r="G96" s="2" t="inlineStr">
        <is>
          <t>3-1</t>
        </is>
      </c>
      <c r="H96" s="3" t="n">
        <v>11</v>
      </c>
      <c r="I96" s="4" t="inlineStr">
        <is>
          <t>WIN</t>
        </is>
      </c>
    </row>
    <row r="97">
      <c r="A97" s="2" t="n">
        <v>96</v>
      </c>
      <c r="B97" s="2" t="inlineStr">
        <is>
          <t>2024-2025</t>
        </is>
      </c>
      <c r="C97" s="2" t="inlineStr">
        <is>
          <t>16/03/2025</t>
        </is>
      </c>
      <c r="D97" s="2" t="inlineStr">
        <is>
          <t>Super Lig (TUR)</t>
        </is>
      </c>
      <c r="E97" s="2" t="inlineStr">
        <is>
          <t>Fenerbahce</t>
        </is>
      </c>
      <c r="F97" s="2" t="inlineStr">
        <is>
          <t>Samsunspor</t>
        </is>
      </c>
      <c r="G97" s="2" t="inlineStr">
        <is>
          <t>0-0</t>
        </is>
      </c>
      <c r="H97" s="3" t="n">
        <v>8.6</v>
      </c>
      <c r="I97" s="4" t="inlineStr">
        <is>
          <t>WIN</t>
        </is>
      </c>
    </row>
    <row r="98">
      <c r="A98" s="2" t="n">
        <v>97</v>
      </c>
      <c r="B98" s="2" t="inlineStr">
        <is>
          <t>2024-2025</t>
        </is>
      </c>
      <c r="C98" s="2" t="inlineStr">
        <is>
          <t>23/03/2025</t>
        </is>
      </c>
      <c r="D98" s="2" t="inlineStr">
        <is>
          <t>Segunda</t>
        </is>
      </c>
      <c r="E98" s="2" t="inlineStr">
        <is>
          <t>La Coruna</t>
        </is>
      </c>
      <c r="F98" s="2" t="inlineStr">
        <is>
          <t>Cartagena</t>
        </is>
      </c>
      <c r="G98" s="2" t="inlineStr">
        <is>
          <t>2-2</t>
        </is>
      </c>
      <c r="H98" s="3" t="n">
        <v>13.5</v>
      </c>
      <c r="I98" s="4" t="inlineStr">
        <is>
          <t>WIN</t>
        </is>
      </c>
    </row>
    <row r="99">
      <c r="A99" s="2" t="n">
        <v>98</v>
      </c>
      <c r="B99" s="2" t="inlineStr">
        <is>
          <t>2024-2025</t>
        </is>
      </c>
      <c r="C99" s="2" t="inlineStr">
        <is>
          <t>27/03/2025</t>
        </is>
      </c>
      <c r="D99" s="2" t="inlineStr">
        <is>
          <t>La Liga</t>
        </is>
      </c>
      <c r="E99" s="2" t="inlineStr">
        <is>
          <t>Barcelona</t>
        </is>
      </c>
      <c r="F99" s="2" t="inlineStr">
        <is>
          <t>Osasuna</t>
        </is>
      </c>
      <c r="G99" s="2" t="inlineStr">
        <is>
          <t>3-0</t>
        </is>
      </c>
      <c r="H99" s="3" t="n">
        <v>10</v>
      </c>
      <c r="I99" s="4" t="inlineStr">
        <is>
          <t>WIN</t>
        </is>
      </c>
    </row>
    <row r="100">
      <c r="A100" s="2" t="n">
        <v>99</v>
      </c>
      <c r="B100" s="2" t="inlineStr">
        <is>
          <t>2024-2025</t>
        </is>
      </c>
      <c r="C100" s="2" t="inlineStr">
        <is>
          <t>29/03/2025</t>
        </is>
      </c>
      <c r="D100" s="2" t="inlineStr">
        <is>
          <t>La Liga</t>
        </is>
      </c>
      <c r="E100" s="2" t="inlineStr">
        <is>
          <t>Sociedad</t>
        </is>
      </c>
      <c r="F100" s="2" t="inlineStr">
        <is>
          <t>Valladolid</t>
        </is>
      </c>
      <c r="G100" s="2" t="inlineStr">
        <is>
          <t>2-1</t>
        </is>
      </c>
      <c r="H100" s="3" t="n">
        <v>12</v>
      </c>
      <c r="I100" s="4" t="inlineStr">
        <is>
          <t>WIN</t>
        </is>
      </c>
    </row>
    <row r="101">
      <c r="A101" s="2" t="n">
        <v>100</v>
      </c>
      <c r="B101" s="2" t="inlineStr">
        <is>
          <t>2024-2025</t>
        </is>
      </c>
      <c r="C101" s="2" t="inlineStr">
        <is>
          <t>29/03/2025</t>
        </is>
      </c>
      <c r="D101" s="2" t="inlineStr">
        <is>
          <t>Super Lig (TUR)</t>
        </is>
      </c>
      <c r="E101" s="2" t="inlineStr">
        <is>
          <t>Sivasspor</t>
        </is>
      </c>
      <c r="F101" s="2" t="inlineStr">
        <is>
          <t>Ad. Demirspor</t>
        </is>
      </c>
      <c r="G101" s="2" t="inlineStr">
        <is>
          <t>5-1</t>
        </is>
      </c>
      <c r="H101" s="3" t="n">
        <v>8.199999999999999</v>
      </c>
      <c r="I101" s="4" t="inlineStr">
        <is>
          <t>WIN</t>
        </is>
      </c>
    </row>
    <row r="102">
      <c r="A102" s="2" t="n">
        <v>101</v>
      </c>
      <c r="B102" s="2" t="inlineStr">
        <is>
          <t>2024-2025</t>
        </is>
      </c>
      <c r="C102" s="2" t="inlineStr">
        <is>
          <t>30/03/2025</t>
        </is>
      </c>
      <c r="D102" s="2" t="inlineStr">
        <is>
          <t>La Liga</t>
        </is>
      </c>
      <c r="E102" s="2" t="inlineStr">
        <is>
          <t>Barcelona</t>
        </is>
      </c>
      <c r="F102" s="2" t="inlineStr">
        <is>
          <t>Girona</t>
        </is>
      </c>
      <c r="G102" s="2" t="inlineStr">
        <is>
          <t>4-1</t>
        </is>
      </c>
      <c r="H102" s="3" t="n">
        <v>12.5</v>
      </c>
      <c r="I102" s="4" t="inlineStr">
        <is>
          <t>WIN</t>
        </is>
      </c>
    </row>
    <row r="103">
      <c r="A103" s="2" t="n">
        <v>102</v>
      </c>
      <c r="B103" s="2" t="inlineStr">
        <is>
          <t>2024-2025</t>
        </is>
      </c>
      <c r="C103" s="2" t="inlineStr">
        <is>
          <t>30/03/2025</t>
        </is>
      </c>
      <c r="D103" s="2" t="inlineStr">
        <is>
          <t>La Liga</t>
        </is>
      </c>
      <c r="E103" s="2" t="inlineStr">
        <is>
          <t>Ath Bilbao</t>
        </is>
      </c>
      <c r="F103" s="2" t="inlineStr">
        <is>
          <t>Osasuna</t>
        </is>
      </c>
      <c r="G103" s="2" t="inlineStr">
        <is>
          <t>0-0</t>
        </is>
      </c>
      <c r="H103" s="3" t="n">
        <v>8.4</v>
      </c>
      <c r="I103" s="4" t="inlineStr">
        <is>
          <t>WIN</t>
        </is>
      </c>
    </row>
    <row r="104">
      <c r="A104" s="2" t="n">
        <v>103</v>
      </c>
      <c r="B104" s="2" t="inlineStr">
        <is>
          <t>2024-2025</t>
        </is>
      </c>
      <c r="C104" s="2" t="inlineStr">
        <is>
          <t>01/04/2025</t>
        </is>
      </c>
      <c r="D104" s="2" t="inlineStr">
        <is>
          <t>Eredivisie</t>
        </is>
      </c>
      <c r="E104" s="2" t="inlineStr">
        <is>
          <t>AZ Alkmaar</t>
        </is>
      </c>
      <c r="F104" s="2" t="inlineStr">
        <is>
          <t>Waalwijk</t>
        </is>
      </c>
      <c r="G104" s="2" t="inlineStr">
        <is>
          <t>2-2</t>
        </is>
      </c>
      <c r="H104" s="3" t="n">
        <v>11.5</v>
      </c>
      <c r="I104" s="4" t="inlineStr">
        <is>
          <t>WIN</t>
        </is>
      </c>
    </row>
    <row r="105">
      <c r="A105" s="2" t="n">
        <v>104</v>
      </c>
      <c r="B105" s="2" t="inlineStr">
        <is>
          <t>2024-2025</t>
        </is>
      </c>
      <c r="C105" s="2" t="inlineStr">
        <is>
          <t>02/04/2025</t>
        </is>
      </c>
      <c r="D105" s="2" t="inlineStr">
        <is>
          <t>Eredivisie</t>
        </is>
      </c>
      <c r="E105" s="2" t="inlineStr">
        <is>
          <t>Feyenoord</t>
        </is>
      </c>
      <c r="F105" s="2" t="inlineStr">
        <is>
          <t>Groningen</t>
        </is>
      </c>
      <c r="G105" s="2" t="inlineStr">
        <is>
          <t>4-1</t>
        </is>
      </c>
      <c r="H105" s="3" t="n">
        <v>9.199999999999999</v>
      </c>
      <c r="I105" s="4" t="inlineStr">
        <is>
          <t>WIN</t>
        </is>
      </c>
    </row>
    <row r="106">
      <c r="A106" s="2" t="n">
        <v>105</v>
      </c>
      <c r="B106" s="2" t="inlineStr">
        <is>
          <t>2024-2025</t>
        </is>
      </c>
      <c r="C106" s="2" t="inlineStr">
        <is>
          <t>04/04/2025</t>
        </is>
      </c>
      <c r="D106" s="2" t="inlineStr">
        <is>
          <t>Eredivisie</t>
        </is>
      </c>
      <c r="E106" s="2" t="inlineStr">
        <is>
          <t>Heerenveen</t>
        </is>
      </c>
      <c r="F106" s="2" t="inlineStr">
        <is>
          <t>Willem II</t>
        </is>
      </c>
      <c r="G106" s="2" t="inlineStr">
        <is>
          <t>3-1</t>
        </is>
      </c>
      <c r="H106" s="3" t="n">
        <v>8</v>
      </c>
      <c r="I106" s="4" t="inlineStr">
        <is>
          <t>WIN</t>
        </is>
      </c>
    </row>
    <row r="107">
      <c r="A107" s="2" t="n">
        <v>106</v>
      </c>
      <c r="B107" s="2" t="inlineStr">
        <is>
          <t>2024-2025</t>
        </is>
      </c>
      <c r="C107" s="2" t="inlineStr">
        <is>
          <t>05/04/2025</t>
        </is>
      </c>
      <c r="D107" s="2" t="inlineStr">
        <is>
          <t>La Liga</t>
        </is>
      </c>
      <c r="E107" s="2" t="inlineStr">
        <is>
          <t>Real Madrid</t>
        </is>
      </c>
      <c r="F107" s="2" t="inlineStr">
        <is>
          <t>Valencia</t>
        </is>
      </c>
      <c r="G107" s="2" t="inlineStr">
        <is>
          <t>1-2</t>
        </is>
      </c>
      <c r="H107" s="3" t="n">
        <v>11.5</v>
      </c>
      <c r="I107" s="5" t="inlineStr">
        <is>
          <t>LOSS</t>
        </is>
      </c>
    </row>
    <row r="108">
      <c r="A108" s="2" t="n">
        <v>107</v>
      </c>
      <c r="B108" s="2" t="inlineStr">
        <is>
          <t>2024-2025</t>
        </is>
      </c>
      <c r="C108" s="2" t="inlineStr">
        <is>
          <t>05/04/2025</t>
        </is>
      </c>
      <c r="D108" s="2" t="inlineStr">
        <is>
          <t>Eredivisie</t>
        </is>
      </c>
      <c r="E108" s="2" t="inlineStr">
        <is>
          <t>Twente</t>
        </is>
      </c>
      <c r="F108" s="2" t="inlineStr">
        <is>
          <t>For Sittard</t>
        </is>
      </c>
      <c r="G108" s="2" t="inlineStr">
        <is>
          <t>1-1</t>
        </is>
      </c>
      <c r="H108" s="3" t="n">
        <v>8.800000000000001</v>
      </c>
      <c r="I108" s="4" t="inlineStr">
        <is>
          <t>WIN</t>
        </is>
      </c>
    </row>
    <row r="109">
      <c r="A109" s="2" t="n">
        <v>108</v>
      </c>
      <c r="B109" s="2" t="inlineStr">
        <is>
          <t>2024-2025</t>
        </is>
      </c>
      <c r="C109" s="2" t="inlineStr">
        <is>
          <t>06/04/2025</t>
        </is>
      </c>
      <c r="D109" s="2" t="inlineStr">
        <is>
          <t>Eredivisie</t>
        </is>
      </c>
      <c r="E109" s="2" t="inlineStr">
        <is>
          <t>Ajax</t>
        </is>
      </c>
      <c r="F109" s="2" t="inlineStr">
        <is>
          <t>NAC Breda</t>
        </is>
      </c>
      <c r="G109" s="2" t="inlineStr">
        <is>
          <t>3-1</t>
        </is>
      </c>
      <c r="H109" s="3" t="n">
        <v>13</v>
      </c>
      <c r="I109" s="4" t="inlineStr">
        <is>
          <t>WIN</t>
        </is>
      </c>
    </row>
    <row r="110">
      <c r="A110" s="2" t="n">
        <v>109</v>
      </c>
      <c r="B110" s="2" t="inlineStr">
        <is>
          <t>2024-2025</t>
        </is>
      </c>
      <c r="C110" s="2" t="inlineStr">
        <is>
          <t>13/04/2025</t>
        </is>
      </c>
      <c r="D110" s="2" t="inlineStr">
        <is>
          <t>Liga Portugal</t>
        </is>
      </c>
      <c r="E110" s="2" t="inlineStr">
        <is>
          <t>Sp Braga</t>
        </is>
      </c>
      <c r="F110" s="2" t="inlineStr">
        <is>
          <t>AVS</t>
        </is>
      </c>
      <c r="G110" s="2" t="inlineStr">
        <is>
          <t>4-1</t>
        </is>
      </c>
      <c r="H110" s="3" t="n">
        <v>9.199999999999999</v>
      </c>
      <c r="I110" s="4" t="inlineStr">
        <is>
          <t>WIN</t>
        </is>
      </c>
    </row>
    <row r="111">
      <c r="A111" s="2" t="n">
        <v>110</v>
      </c>
      <c r="B111" s="2" t="inlineStr">
        <is>
          <t>2024-2025</t>
        </is>
      </c>
      <c r="C111" s="2" t="inlineStr">
        <is>
          <t>18/04/2025</t>
        </is>
      </c>
      <c r="D111" s="2" t="inlineStr">
        <is>
          <t>Super Lig (TUR)</t>
        </is>
      </c>
      <c r="E111" s="2" t="inlineStr">
        <is>
          <t>Galatasaray</t>
        </is>
      </c>
      <c r="F111" s="2" t="inlineStr">
        <is>
          <t>Bodrumspor</t>
        </is>
      </c>
      <c r="G111" s="2" t="inlineStr">
        <is>
          <t>2-0</t>
        </is>
      </c>
      <c r="H111" s="3" t="n">
        <v>12</v>
      </c>
      <c r="I111" s="4" t="inlineStr">
        <is>
          <t>WIN</t>
        </is>
      </c>
    </row>
    <row r="112">
      <c r="A112" s="2" t="n">
        <v>111</v>
      </c>
      <c r="B112" s="2" t="inlineStr">
        <is>
          <t>2024-2025</t>
        </is>
      </c>
      <c r="C112" s="2" t="inlineStr">
        <is>
          <t>18/04/2025</t>
        </is>
      </c>
      <c r="D112" s="2" t="inlineStr">
        <is>
          <t>Championship</t>
        </is>
      </c>
      <c r="E112" s="2" t="inlineStr">
        <is>
          <t>Middlesbrough</t>
        </is>
      </c>
      <c r="F112" s="2" t="inlineStr">
        <is>
          <t>Plymouth</t>
        </is>
      </c>
      <c r="G112" s="2" t="inlineStr">
        <is>
          <t>2-1</t>
        </is>
      </c>
      <c r="H112" s="3" t="n">
        <v>8.800000000000001</v>
      </c>
      <c r="I112" s="4" t="inlineStr">
        <is>
          <t>WIN</t>
        </is>
      </c>
    </row>
    <row r="113">
      <c r="A113" s="2" t="n">
        <v>112</v>
      </c>
      <c r="B113" s="2" t="inlineStr">
        <is>
          <t>2024-2025</t>
        </is>
      </c>
      <c r="C113" s="2" t="inlineStr">
        <is>
          <t>19/04/2025</t>
        </is>
      </c>
      <c r="D113" s="2" t="inlineStr">
        <is>
          <t>La Liga</t>
        </is>
      </c>
      <c r="E113" s="2" t="inlineStr">
        <is>
          <t>Barcelona</t>
        </is>
      </c>
      <c r="F113" s="2" t="inlineStr">
        <is>
          <t>Celta</t>
        </is>
      </c>
      <c r="G113" s="2" t="inlineStr">
        <is>
          <t>4-3</t>
        </is>
      </c>
      <c r="H113" s="3" t="n">
        <v>9.800000000000001</v>
      </c>
      <c r="I113" s="4" t="inlineStr">
        <is>
          <t>WIN</t>
        </is>
      </c>
    </row>
    <row r="114">
      <c r="A114" s="2" t="n">
        <v>113</v>
      </c>
      <c r="B114" s="2" t="inlineStr">
        <is>
          <t>2024-2025</t>
        </is>
      </c>
      <c r="C114" s="2" t="inlineStr">
        <is>
          <t>21/04/2025</t>
        </is>
      </c>
      <c r="D114" s="2" t="inlineStr">
        <is>
          <t>Championship</t>
        </is>
      </c>
      <c r="E114" s="2" t="inlineStr">
        <is>
          <t>Leeds</t>
        </is>
      </c>
      <c r="F114" s="2" t="inlineStr">
        <is>
          <t>Stoke</t>
        </is>
      </c>
      <c r="G114" s="2" t="inlineStr">
        <is>
          <t>6-0</t>
        </is>
      </c>
      <c r="H114" s="3" t="n">
        <v>13.5</v>
      </c>
      <c r="I114" s="4" t="inlineStr">
        <is>
          <t>WIN</t>
        </is>
      </c>
    </row>
    <row r="115">
      <c r="A115" s="2" t="n">
        <v>114</v>
      </c>
      <c r="B115" s="2" t="inlineStr">
        <is>
          <t>2024-2025</t>
        </is>
      </c>
      <c r="C115" s="2" t="inlineStr">
        <is>
          <t>22/04/2025</t>
        </is>
      </c>
      <c r="D115" s="2" t="inlineStr">
        <is>
          <t>La Liga</t>
        </is>
      </c>
      <c r="E115" s="2" t="inlineStr">
        <is>
          <t>Barcelona</t>
        </is>
      </c>
      <c r="F115" s="2" t="inlineStr">
        <is>
          <t>Mallorca</t>
        </is>
      </c>
      <c r="G115" s="2" t="inlineStr">
        <is>
          <t>1-0</t>
        </is>
      </c>
      <c r="H115" s="3" t="n">
        <v>14.5</v>
      </c>
      <c r="I115" s="4" t="inlineStr">
        <is>
          <t>WIN</t>
        </is>
      </c>
    </row>
    <row r="116">
      <c r="A116" s="2" t="n">
        <v>115</v>
      </c>
      <c r="B116" s="2" t="inlineStr">
        <is>
          <t>2024-2025</t>
        </is>
      </c>
      <c r="C116" s="2" t="inlineStr">
        <is>
          <t>23/04/2025</t>
        </is>
      </c>
      <c r="D116" s="2" t="inlineStr">
        <is>
          <t>La Liga</t>
        </is>
      </c>
      <c r="E116" s="2" t="inlineStr">
        <is>
          <t>Ath Bilbao</t>
        </is>
      </c>
      <c r="F116" s="2" t="inlineStr">
        <is>
          <t>Las Palmas</t>
        </is>
      </c>
      <c r="G116" s="2" t="inlineStr">
        <is>
          <t>1-0</t>
        </is>
      </c>
      <c r="H116" s="3" t="n">
        <v>10</v>
      </c>
      <c r="I116" s="4" t="inlineStr">
        <is>
          <t>WIN</t>
        </is>
      </c>
    </row>
    <row r="117">
      <c r="A117" s="2" t="n">
        <v>116</v>
      </c>
      <c r="B117" s="2" t="inlineStr">
        <is>
          <t>2024-2025</t>
        </is>
      </c>
      <c r="C117" s="2" t="inlineStr">
        <is>
          <t>24/04/2025</t>
        </is>
      </c>
      <c r="D117" s="2" t="inlineStr">
        <is>
          <t>Eredivisie</t>
        </is>
      </c>
      <c r="E117" s="2" t="inlineStr">
        <is>
          <t>AZ Alkmaar</t>
        </is>
      </c>
      <c r="F117" s="2" t="inlineStr">
        <is>
          <t>NAC Breda</t>
        </is>
      </c>
      <c r="G117" s="2" t="inlineStr">
        <is>
          <t>1-1</t>
        </is>
      </c>
      <c r="H117" s="3" t="n">
        <v>8.6</v>
      </c>
      <c r="I117" s="4" t="inlineStr">
        <is>
          <t>WIN</t>
        </is>
      </c>
    </row>
    <row r="118">
      <c r="A118" s="2" t="n">
        <v>117</v>
      </c>
      <c r="B118" s="2" t="inlineStr">
        <is>
          <t>2024-2025</t>
        </is>
      </c>
      <c r="C118" s="2" t="inlineStr">
        <is>
          <t>25/04/2025</t>
        </is>
      </c>
      <c r="D118" s="2" t="inlineStr">
        <is>
          <t>Eredivisie</t>
        </is>
      </c>
      <c r="E118" s="2" t="inlineStr">
        <is>
          <t>Feyenoord</t>
        </is>
      </c>
      <c r="F118" s="2" t="inlineStr">
        <is>
          <t>Zwolle</t>
        </is>
      </c>
      <c r="G118" s="2" t="inlineStr">
        <is>
          <t>4-0</t>
        </is>
      </c>
      <c r="H118" s="3" t="n">
        <v>14.5</v>
      </c>
      <c r="I118" s="4" t="inlineStr">
        <is>
          <t>WIN</t>
        </is>
      </c>
    </row>
    <row r="119">
      <c r="A119" s="2" t="n">
        <v>118</v>
      </c>
      <c r="B119" s="2" t="inlineStr">
        <is>
          <t>2024-2025</t>
        </is>
      </c>
      <c r="C119" s="2" t="inlineStr">
        <is>
          <t>25/04/2025</t>
        </is>
      </c>
      <c r="D119" s="2" t="inlineStr">
        <is>
          <t>Super Lig (TUR)</t>
        </is>
      </c>
      <c r="E119" s="2" t="inlineStr">
        <is>
          <t>Besiktas</t>
        </is>
      </c>
      <c r="F119" s="2" t="inlineStr">
        <is>
          <t>Hatayspor</t>
        </is>
      </c>
      <c r="G119" s="2" t="inlineStr">
        <is>
          <t>5-1</t>
        </is>
      </c>
      <c r="H119" s="3" t="n">
        <v>12</v>
      </c>
      <c r="I119" s="4" t="inlineStr">
        <is>
          <t>WIN</t>
        </is>
      </c>
    </row>
    <row r="120">
      <c r="A120" s="2" t="n">
        <v>119</v>
      </c>
      <c r="B120" s="2" t="inlineStr">
        <is>
          <t>2024-2025</t>
        </is>
      </c>
      <c r="C120" s="2" t="inlineStr">
        <is>
          <t>02/05/2025</t>
        </is>
      </c>
      <c r="D120" s="2" t="inlineStr">
        <is>
          <t>Liga Portugal</t>
        </is>
      </c>
      <c r="E120" s="2" t="inlineStr">
        <is>
          <t>Porto</t>
        </is>
      </c>
      <c r="F120" s="2" t="inlineStr">
        <is>
          <t>Moreirense</t>
        </is>
      </c>
      <c r="G120" s="2" t="inlineStr">
        <is>
          <t>3-1</t>
        </is>
      </c>
      <c r="H120" s="3" t="n">
        <v>11.5</v>
      </c>
      <c r="I120" s="4" t="inlineStr">
        <is>
          <t>WIN</t>
        </is>
      </c>
    </row>
    <row r="121">
      <c r="A121" s="2" t="n">
        <v>120</v>
      </c>
      <c r="B121" s="2" t="inlineStr">
        <is>
          <t>2024-2025</t>
        </is>
      </c>
      <c r="C121" s="2" t="inlineStr">
        <is>
          <t>04/05/2025</t>
        </is>
      </c>
      <c r="D121" s="2" t="inlineStr">
        <is>
          <t>La Liga</t>
        </is>
      </c>
      <c r="E121" s="2" t="inlineStr">
        <is>
          <t>Real Madrid</t>
        </is>
      </c>
      <c r="F121" s="2" t="inlineStr">
        <is>
          <t>Celta</t>
        </is>
      </c>
      <c r="G121" s="2" t="inlineStr">
        <is>
          <t>3-2</t>
        </is>
      </c>
      <c r="H121" s="3" t="n">
        <v>8.199999999999999</v>
      </c>
      <c r="I121" s="4" t="inlineStr">
        <is>
          <t>WIN</t>
        </is>
      </c>
    </row>
    <row r="122">
      <c r="A122" s="2" t="n">
        <v>121</v>
      </c>
      <c r="B122" s="2" t="inlineStr">
        <is>
          <t>2024-2025</t>
        </is>
      </c>
      <c r="C122" s="2" t="inlineStr">
        <is>
          <t>10/05/2025</t>
        </is>
      </c>
      <c r="D122" s="2" t="inlineStr">
        <is>
          <t>La Liga</t>
        </is>
      </c>
      <c r="E122" s="2" t="inlineStr">
        <is>
          <t>Mallorca</t>
        </is>
      </c>
      <c r="F122" s="2" t="inlineStr">
        <is>
          <t>Valladolid</t>
        </is>
      </c>
      <c r="G122" s="2" t="inlineStr">
        <is>
          <t>2-1</t>
        </is>
      </c>
      <c r="H122" s="3" t="n">
        <v>12</v>
      </c>
      <c r="I122" s="4" t="inlineStr">
        <is>
          <t>WIN</t>
        </is>
      </c>
    </row>
    <row r="123">
      <c r="A123" s="2" t="n">
        <v>122</v>
      </c>
      <c r="B123" s="2" t="inlineStr">
        <is>
          <t>2024-2025</t>
        </is>
      </c>
      <c r="C123" s="2" t="inlineStr">
        <is>
          <t>14/05/2025</t>
        </is>
      </c>
      <c r="D123" s="2" t="inlineStr">
        <is>
          <t>La Liga</t>
        </is>
      </c>
      <c r="E123" s="2" t="inlineStr">
        <is>
          <t>Villarreal</t>
        </is>
      </c>
      <c r="F123" s="2" t="inlineStr">
        <is>
          <t>Leganes</t>
        </is>
      </c>
      <c r="G123" s="2" t="inlineStr">
        <is>
          <t>3-0</t>
        </is>
      </c>
      <c r="H123" s="3" t="n">
        <v>10</v>
      </c>
      <c r="I123" s="4" t="inlineStr">
        <is>
          <t>WIN</t>
        </is>
      </c>
    </row>
    <row r="124">
      <c r="A124" s="2" t="n">
        <v>123</v>
      </c>
      <c r="B124" s="2" t="inlineStr">
        <is>
          <t>2024-2025</t>
        </is>
      </c>
      <c r="C124" s="2" t="inlineStr">
        <is>
          <t>14/05/2025</t>
        </is>
      </c>
      <c r="D124" s="2" t="inlineStr">
        <is>
          <t>La Liga</t>
        </is>
      </c>
      <c r="E124" s="2" t="inlineStr">
        <is>
          <t>Real Madrid</t>
        </is>
      </c>
      <c r="F124" s="2" t="inlineStr">
        <is>
          <t>Mallorca</t>
        </is>
      </c>
      <c r="G124" s="2" t="inlineStr">
        <is>
          <t>2-1</t>
        </is>
      </c>
      <c r="H124" s="3" t="n">
        <v>9</v>
      </c>
      <c r="I124" s="4" t="inlineStr">
        <is>
          <t>WIN</t>
        </is>
      </c>
    </row>
    <row r="125">
      <c r="A125" s="2" t="n">
        <v>124</v>
      </c>
      <c r="B125" s="2" t="inlineStr">
        <is>
          <t>2024-2025</t>
        </is>
      </c>
      <c r="C125" s="2" t="inlineStr">
        <is>
          <t>17/05/2025</t>
        </is>
      </c>
      <c r="D125" s="2" t="inlineStr">
        <is>
          <t>Liga Portugal</t>
        </is>
      </c>
      <c r="E125" s="2" t="inlineStr">
        <is>
          <t>Sp Lisbon</t>
        </is>
      </c>
      <c r="F125" s="2" t="inlineStr">
        <is>
          <t>Guimaraes</t>
        </is>
      </c>
      <c r="G125" s="2" t="inlineStr">
        <is>
          <t>2-0</t>
        </is>
      </c>
      <c r="H125" s="3" t="n">
        <v>14</v>
      </c>
      <c r="I125" s="4" t="inlineStr">
        <is>
          <t>WIN</t>
        </is>
      </c>
    </row>
    <row r="126">
      <c r="A126" s="2" t="n">
        <v>125</v>
      </c>
      <c r="B126" s="2" t="inlineStr">
        <is>
          <t>2024-2025</t>
        </is>
      </c>
      <c r="C126" s="2" t="inlineStr">
        <is>
          <t>17/05/2025</t>
        </is>
      </c>
      <c r="D126" s="2" t="inlineStr">
        <is>
          <t>Liga Portugal</t>
        </is>
      </c>
      <c r="E126" s="2" t="inlineStr">
        <is>
          <t>Porto</t>
        </is>
      </c>
      <c r="F126" s="2" t="inlineStr">
        <is>
          <t>Nacional</t>
        </is>
      </c>
      <c r="G126" s="2" t="inlineStr">
        <is>
          <t>3-0</t>
        </is>
      </c>
      <c r="H126" s="3" t="n">
        <v>11</v>
      </c>
      <c r="I126" s="4" t="inlineStr">
        <is>
          <t>WIN</t>
        </is>
      </c>
    </row>
    <row r="127">
      <c r="A127" s="2" t="n">
        <v>126</v>
      </c>
      <c r="B127" s="2" t="inlineStr">
        <is>
          <t>2024-2025</t>
        </is>
      </c>
      <c r="C127" s="2" t="inlineStr">
        <is>
          <t>18/05/2025</t>
        </is>
      </c>
      <c r="D127" s="2" t="inlineStr">
        <is>
          <t>Super Lig (TUR)</t>
        </is>
      </c>
      <c r="E127" s="2" t="inlineStr">
        <is>
          <t>Fenerbahce</t>
        </is>
      </c>
      <c r="F127" s="2" t="inlineStr">
        <is>
          <t>Eyupspor</t>
        </is>
      </c>
      <c r="G127" s="2" t="inlineStr">
        <is>
          <t>2-1</t>
        </is>
      </c>
      <c r="H127" s="3" t="n">
        <v>12.5</v>
      </c>
      <c r="I127" s="4" t="inlineStr">
        <is>
          <t>WIN</t>
        </is>
      </c>
    </row>
    <row r="128">
      <c r="A128" s="2" t="n">
        <v>127</v>
      </c>
      <c r="B128" s="2" t="inlineStr">
        <is>
          <t>2024-2025</t>
        </is>
      </c>
      <c r="C128" s="2" t="inlineStr">
        <is>
          <t>18/05/2025</t>
        </is>
      </c>
      <c r="D128" s="2" t="inlineStr">
        <is>
          <t>Eredivisie</t>
        </is>
      </c>
      <c r="E128" s="2" t="inlineStr">
        <is>
          <t>AZ Alkmaar</t>
        </is>
      </c>
      <c r="F128" s="2" t="inlineStr">
        <is>
          <t>Almere City</t>
        </is>
      </c>
      <c r="G128" s="2" t="inlineStr">
        <is>
          <t>1-1</t>
        </is>
      </c>
      <c r="H128" s="3" t="n">
        <v>8.800000000000001</v>
      </c>
      <c r="I128" s="4" t="inlineStr">
        <is>
          <t>WIN</t>
        </is>
      </c>
    </row>
    <row r="129">
      <c r="A129" s="2" t="n">
        <v>128</v>
      </c>
      <c r="B129" s="2" t="inlineStr">
        <is>
          <t>2024-2025</t>
        </is>
      </c>
      <c r="C129" s="2" t="inlineStr">
        <is>
          <t>24/05/2025</t>
        </is>
      </c>
      <c r="D129" s="2" t="inlineStr">
        <is>
          <t>La Liga</t>
        </is>
      </c>
      <c r="E129" s="2" t="inlineStr">
        <is>
          <t>Leganes</t>
        </is>
      </c>
      <c r="F129" s="2" t="inlineStr">
        <is>
          <t>Valladolid</t>
        </is>
      </c>
      <c r="G129" s="2" t="inlineStr">
        <is>
          <t>3-0</t>
        </is>
      </c>
      <c r="H129" s="3" t="n">
        <v>11</v>
      </c>
      <c r="I129" s="4" t="inlineStr">
        <is>
          <t>WIN</t>
        </is>
      </c>
    </row>
    <row r="130">
      <c r="A130" s="2" t="n">
        <v>129</v>
      </c>
      <c r="B130" s="2" t="inlineStr">
        <is>
          <t>2024-2025</t>
        </is>
      </c>
      <c r="C130" s="2" t="inlineStr">
        <is>
          <t>24/05/2025</t>
        </is>
      </c>
      <c r="D130" s="2" t="inlineStr">
        <is>
          <t>La Liga</t>
        </is>
      </c>
      <c r="E130" s="2" t="inlineStr">
        <is>
          <t>Espanol</t>
        </is>
      </c>
      <c r="F130" s="2" t="inlineStr">
        <is>
          <t>Las Palmas</t>
        </is>
      </c>
      <c r="G130" s="2" t="inlineStr">
        <is>
          <t>2-0</t>
        </is>
      </c>
      <c r="H130" s="3" t="n">
        <v>9.4</v>
      </c>
      <c r="I130" s="4" t="inlineStr">
        <is>
          <t>WIN</t>
        </is>
      </c>
    </row>
    <row r="131">
      <c r="A131" s="2" t="n">
        <v>130</v>
      </c>
      <c r="B131" s="2" t="inlineStr">
        <is>
          <t>2024-2025</t>
        </is>
      </c>
      <c r="C131" s="2" t="inlineStr">
        <is>
          <t>01/06/2025</t>
        </is>
      </c>
      <c r="D131" s="2" t="inlineStr">
        <is>
          <t>Segunda</t>
        </is>
      </c>
      <c r="E131" s="2" t="inlineStr">
        <is>
          <t>Almeria</t>
        </is>
      </c>
      <c r="F131" s="2" t="inlineStr">
        <is>
          <t>Tenerife</t>
        </is>
      </c>
      <c r="G131" s="2" t="inlineStr">
        <is>
          <t>2-0</t>
        </is>
      </c>
      <c r="H131" s="3" t="n">
        <v>12</v>
      </c>
      <c r="I131" s="4" t="inlineStr">
        <is>
          <t>WIN</t>
        </is>
      </c>
    </row>
    <row r="132">
      <c r="A132" s="2" t="n">
        <v>131</v>
      </c>
      <c r="B132" s="2" t="inlineStr">
        <is>
          <t>2025-2026</t>
        </is>
      </c>
      <c r="C132" s="2" t="inlineStr">
        <is>
          <t>09/08/2025</t>
        </is>
      </c>
      <c r="D132" s="2" t="inlineStr">
        <is>
          <t>Eredivisie</t>
        </is>
      </c>
      <c r="E132" s="2" t="inlineStr">
        <is>
          <t>PSV Eindhoven</t>
        </is>
      </c>
      <c r="F132" s="2" t="inlineStr">
        <is>
          <t>Sparta Rotterdam</t>
        </is>
      </c>
      <c r="G132" s="2" t="inlineStr">
        <is>
          <t>6-1</t>
        </is>
      </c>
      <c r="H132" s="3" t="n">
        <v>12.5</v>
      </c>
      <c r="I132" s="4" t="inlineStr">
        <is>
          <t>WIN</t>
        </is>
      </c>
    </row>
    <row r="133">
      <c r="A133" s="2" t="n">
        <v>132</v>
      </c>
      <c r="B133" s="2" t="inlineStr">
        <is>
          <t>2025-2026</t>
        </is>
      </c>
      <c r="C133" s="2" t="inlineStr">
        <is>
          <t>10/08/2025</t>
        </is>
      </c>
      <c r="D133" s="2" t="inlineStr">
        <is>
          <t>Liga Portugal</t>
        </is>
      </c>
      <c r="E133" s="2" t="inlineStr">
        <is>
          <t>Sp Braga</t>
        </is>
      </c>
      <c r="F133" s="2" t="inlineStr">
        <is>
          <t>Tondela</t>
        </is>
      </c>
      <c r="G133" s="2" t="inlineStr">
        <is>
          <t>3-0</t>
        </is>
      </c>
      <c r="H133" s="3" t="n">
        <v>9.4</v>
      </c>
      <c r="I133" s="4" t="inlineStr">
        <is>
          <t>WIN</t>
        </is>
      </c>
    </row>
    <row r="134">
      <c r="A134" s="2" t="n">
        <v>133</v>
      </c>
      <c r="B134" s="2" t="inlineStr">
        <is>
          <t>2025-2026</t>
        </is>
      </c>
      <c r="C134" s="2" t="inlineStr">
        <is>
          <t>15/08/2025</t>
        </is>
      </c>
      <c r="D134" s="2" t="inlineStr">
        <is>
          <t>La Liga</t>
        </is>
      </c>
      <c r="E134" s="2" t="inlineStr">
        <is>
          <t>Villarreal</t>
        </is>
      </c>
      <c r="F134" s="2" t="inlineStr">
        <is>
          <t>Oviedo</t>
        </is>
      </c>
      <c r="G134" s="2" t="inlineStr">
        <is>
          <t>2-0</t>
        </is>
      </c>
      <c r="H134" s="3" t="n">
        <v>9.6</v>
      </c>
      <c r="I134" s="4" t="inlineStr">
        <is>
          <t>WIN</t>
        </is>
      </c>
    </row>
    <row r="135">
      <c r="A135" s="2" t="n">
        <v>134</v>
      </c>
      <c r="B135" s="2" t="inlineStr">
        <is>
          <t>2025-2026</t>
        </is>
      </c>
      <c r="C135" s="2" t="inlineStr">
        <is>
          <t>17/08/2025</t>
        </is>
      </c>
      <c r="D135" s="2" t="inlineStr">
        <is>
          <t>Liga Portugal</t>
        </is>
      </c>
      <c r="E135" s="2" t="inlineStr">
        <is>
          <t>Sp Lisbon</t>
        </is>
      </c>
      <c r="F135" s="2" t="inlineStr">
        <is>
          <t>Arouca</t>
        </is>
      </c>
      <c r="G135" s="2" t="inlineStr">
        <is>
          <t>6-0</t>
        </is>
      </c>
      <c r="H135" s="3" t="n">
        <v>12</v>
      </c>
      <c r="I135" s="4" t="inlineStr">
        <is>
          <t>WIN</t>
        </is>
      </c>
    </row>
    <row r="136">
      <c r="A136" s="2" t="n">
        <v>135</v>
      </c>
      <c r="B136" s="2" t="inlineStr">
        <is>
          <t>2025-2026</t>
        </is>
      </c>
      <c r="C136" s="2" t="inlineStr">
        <is>
          <t>23/08/2025</t>
        </is>
      </c>
      <c r="D136" s="2" t="inlineStr">
        <is>
          <t>Super Lig (TUR)</t>
        </is>
      </c>
      <c r="E136" s="2" t="inlineStr">
        <is>
          <t>Fenerbahce</t>
        </is>
      </c>
      <c r="F136" s="2" t="inlineStr">
        <is>
          <t>Kocaelispor</t>
        </is>
      </c>
      <c r="G136" s="2" t="inlineStr">
        <is>
          <t>3-1</t>
        </is>
      </c>
      <c r="H136" s="3" t="n">
        <v>10</v>
      </c>
      <c r="I136" s="4" t="inlineStr">
        <is>
          <t>WIN</t>
        </is>
      </c>
    </row>
    <row r="137">
      <c r="A137" s="2" t="n">
        <v>136</v>
      </c>
      <c r="B137" s="2" t="inlineStr">
        <is>
          <t>2025-2026</t>
        </is>
      </c>
      <c r="C137" s="2" t="inlineStr">
        <is>
          <t>23/08/2025</t>
        </is>
      </c>
      <c r="D137" s="2" t="inlineStr">
        <is>
          <t>Championship</t>
        </is>
      </c>
      <c r="E137" s="2" t="inlineStr">
        <is>
          <t>Birmingham</t>
        </is>
      </c>
      <c r="F137" s="2" t="inlineStr">
        <is>
          <t>Oxford</t>
        </is>
      </c>
      <c r="G137" s="2" t="inlineStr">
        <is>
          <t>1-0</t>
        </is>
      </c>
      <c r="H137" s="3" t="n">
        <v>8.199999999999999</v>
      </c>
      <c r="I137" s="4" t="inlineStr">
        <is>
          <t>WIN</t>
        </is>
      </c>
    </row>
    <row r="138">
      <c r="A138" s="2" t="n">
        <v>137</v>
      </c>
      <c r="B138" s="2" t="inlineStr">
        <is>
          <t>2025-2026</t>
        </is>
      </c>
      <c r="C138" s="2" t="inlineStr">
        <is>
          <t>24/08/2025</t>
        </is>
      </c>
      <c r="D138" s="2" t="inlineStr">
        <is>
          <t>Liga Portugal</t>
        </is>
      </c>
      <c r="E138" s="2" t="inlineStr">
        <is>
          <t>Porto</t>
        </is>
      </c>
      <c r="F138" s="2" t="inlineStr">
        <is>
          <t>Casa Pia</t>
        </is>
      </c>
      <c r="G138" s="2" t="inlineStr">
        <is>
          <t>4-0</t>
        </is>
      </c>
      <c r="H138" s="3" t="n">
        <v>13.5</v>
      </c>
      <c r="I138" s="4" t="inlineStr">
        <is>
          <t>WIN</t>
        </is>
      </c>
    </row>
    <row r="139">
      <c r="A139" s="2" t="n">
        <v>138</v>
      </c>
      <c r="B139" s="2" t="inlineStr">
        <is>
          <t>2025-2026</t>
        </is>
      </c>
      <c r="C139" s="2" t="inlineStr">
        <is>
          <t>24/08/2025</t>
        </is>
      </c>
      <c r="D139" s="2" t="inlineStr">
        <is>
          <t>Super League (GRE)</t>
        </is>
      </c>
      <c r="E139" s="2" t="inlineStr">
        <is>
          <t>AEK</t>
        </is>
      </c>
      <c r="F139" s="2" t="inlineStr">
        <is>
          <t>Panserraikos</t>
        </is>
      </c>
      <c r="G139" s="2" t="inlineStr">
        <is>
          <t>2-0</t>
        </is>
      </c>
      <c r="H139" s="3" t="n">
        <v>13</v>
      </c>
      <c r="I139" s="4" t="inlineStr">
        <is>
          <t>WIN</t>
        </is>
      </c>
    </row>
    <row r="140">
      <c r="A140" s="2" t="n">
        <v>139</v>
      </c>
      <c r="B140" s="2" t="inlineStr">
        <is>
          <t>2025-2026</t>
        </is>
      </c>
      <c r="C140" s="2" t="inlineStr">
        <is>
          <t>30/08/2025</t>
        </is>
      </c>
      <c r="D140" s="2" t="inlineStr">
        <is>
          <t>Super Lig (TUR)</t>
        </is>
      </c>
      <c r="E140" s="2" t="inlineStr">
        <is>
          <t>Galatasaray</t>
        </is>
      </c>
      <c r="F140" s="2" t="inlineStr">
        <is>
          <t>Rizespor</t>
        </is>
      </c>
      <c r="G140" s="2" t="inlineStr">
        <is>
          <t>3-1</t>
        </is>
      </c>
      <c r="H140" s="3" t="n">
        <v>14.5</v>
      </c>
      <c r="I140" s="4" t="inlineStr">
        <is>
          <t>WIN</t>
        </is>
      </c>
    </row>
    <row r="141">
      <c r="A141" s="2" t="n">
        <v>140</v>
      </c>
      <c r="B141" s="2" t="inlineStr">
        <is>
          <t>2025-2026</t>
        </is>
      </c>
      <c r="C141" s="2" t="inlineStr">
        <is>
          <t>30/08/2025</t>
        </is>
      </c>
      <c r="D141" s="2" t="inlineStr">
        <is>
          <t>Super League (GRE)</t>
        </is>
      </c>
      <c r="E141" s="2" t="inlineStr">
        <is>
          <t>Aris</t>
        </is>
      </c>
      <c r="F141" s="2" t="inlineStr">
        <is>
          <t>Panetolikos</t>
        </is>
      </c>
      <c r="G141" s="2" t="inlineStr">
        <is>
          <t>0-2</t>
        </is>
      </c>
      <c r="H141" s="3" t="n">
        <v>8.4</v>
      </c>
      <c r="I141" s="5" t="inlineStr">
        <is>
          <t>LOSS</t>
        </is>
      </c>
    </row>
    <row r="142">
      <c r="A142" s="2" t="n">
        <v>141</v>
      </c>
      <c r="B142" s="2" t="inlineStr">
        <is>
          <t>2025-2026</t>
        </is>
      </c>
      <c r="C142" s="2" t="inlineStr">
        <is>
          <t>31/08/2025</t>
        </is>
      </c>
      <c r="D142" s="2" t="inlineStr">
        <is>
          <t>Super League (GRE)</t>
        </is>
      </c>
      <c r="E142" s="2" t="inlineStr">
        <is>
          <t>Panathinaikos</t>
        </is>
      </c>
      <c r="F142" s="2" t="inlineStr">
        <is>
          <t>Levadeiakos</t>
        </is>
      </c>
      <c r="G142" s="2" t="inlineStr">
        <is>
          <t>1-1</t>
        </is>
      </c>
      <c r="H142" s="3" t="n">
        <v>11</v>
      </c>
      <c r="I142" s="4" t="inlineStr">
        <is>
          <t>WIN</t>
        </is>
      </c>
    </row>
    <row r="143">
      <c r="A143" s="2" t="n">
        <v>142</v>
      </c>
      <c r="B143" s="2" t="inlineStr">
        <is>
          <t>2025-2026</t>
        </is>
      </c>
      <c r="C143" s="2" t="inlineStr">
        <is>
          <t>12/09/2025</t>
        </is>
      </c>
      <c r="D143" s="2" t="inlineStr">
        <is>
          <t>Liga Portugal</t>
        </is>
      </c>
      <c r="E143" s="2" t="inlineStr">
        <is>
          <t>Benfica</t>
        </is>
      </c>
      <c r="F143" s="2" t="inlineStr">
        <is>
          <t>Santa Clara</t>
        </is>
      </c>
      <c r="G143" s="2" t="inlineStr">
        <is>
          <t>1-1</t>
        </is>
      </c>
      <c r="H143" s="3" t="n">
        <v>12.5</v>
      </c>
      <c r="I143" s="4" t="inlineStr">
        <is>
          <t>WIN</t>
        </is>
      </c>
    </row>
    <row r="144">
      <c r="A144" s="2" t="n">
        <v>143</v>
      </c>
      <c r="B144" s="2" t="inlineStr">
        <is>
          <t>2025-2026</t>
        </is>
      </c>
      <c r="C144" s="2" t="inlineStr">
        <is>
          <t>13/09/2025</t>
        </is>
      </c>
      <c r="D144" s="2" t="inlineStr">
        <is>
          <t>Eredivisie</t>
        </is>
      </c>
      <c r="E144" s="2" t="inlineStr">
        <is>
          <t>Ajax</t>
        </is>
      </c>
      <c r="F144" s="2" t="inlineStr">
        <is>
          <t>Zwolle</t>
        </is>
      </c>
      <c r="G144" s="2" t="inlineStr">
        <is>
          <t>3-1</t>
        </is>
      </c>
      <c r="H144" s="3" t="n">
        <v>11.5</v>
      </c>
      <c r="I144" s="4" t="inlineStr">
        <is>
          <t>WIN</t>
        </is>
      </c>
    </row>
    <row r="145">
      <c r="A145" s="2" t="n">
        <v>144</v>
      </c>
      <c r="B145" s="2" t="inlineStr">
        <is>
          <t>2025-2026</t>
        </is>
      </c>
      <c r="C145" s="2" t="inlineStr">
        <is>
          <t>13/09/2025</t>
        </is>
      </c>
      <c r="D145" s="2" t="inlineStr">
        <is>
          <t>Eredivisie</t>
        </is>
      </c>
      <c r="E145" s="2" t="inlineStr">
        <is>
          <t>Feyenoord</t>
        </is>
      </c>
      <c r="F145" s="2" t="inlineStr">
        <is>
          <t>Heerenveen</t>
        </is>
      </c>
      <c r="G145" s="2" t="inlineStr">
        <is>
          <t>1-0</t>
        </is>
      </c>
      <c r="H145" s="3" t="n">
        <v>8</v>
      </c>
      <c r="I145" s="4" t="inlineStr">
        <is>
          <t>WIN</t>
        </is>
      </c>
    </row>
    <row r="146">
      <c r="A146" s="2" t="n">
        <v>145</v>
      </c>
      <c r="B146" s="2" t="inlineStr">
        <is>
          <t>2025-2026</t>
        </is>
      </c>
      <c r="C146" s="2" t="inlineStr">
        <is>
          <t>14/09/2025</t>
        </is>
      </c>
      <c r="D146" s="2" t="inlineStr">
        <is>
          <t>La Liga</t>
        </is>
      </c>
      <c r="E146" s="2" t="inlineStr">
        <is>
          <t>Barcelona</t>
        </is>
      </c>
      <c r="F146" s="2" t="inlineStr">
        <is>
          <t>Valencia</t>
        </is>
      </c>
      <c r="G146" s="2" t="inlineStr">
        <is>
          <t>6-0</t>
        </is>
      </c>
      <c r="H146" s="3" t="n">
        <v>12.5</v>
      </c>
      <c r="I146" s="4" t="inlineStr">
        <is>
          <t>WIN</t>
        </is>
      </c>
    </row>
    <row r="147">
      <c r="A147" s="2" t="n">
        <v>146</v>
      </c>
      <c r="B147" s="2" t="inlineStr">
        <is>
          <t>2025-2026</t>
        </is>
      </c>
      <c r="C147" s="2" t="inlineStr">
        <is>
          <t>17/09/2025</t>
        </is>
      </c>
      <c r="D147" s="2" t="inlineStr">
        <is>
          <t>Eredivisie</t>
        </is>
      </c>
      <c r="E147" s="2" t="inlineStr">
        <is>
          <t>Feyenoord</t>
        </is>
      </c>
      <c r="F147" s="2" t="inlineStr">
        <is>
          <t>For Sittard</t>
        </is>
      </c>
      <c r="G147" s="2" t="inlineStr">
        <is>
          <t>2-0</t>
        </is>
      </c>
      <c r="H147" s="3" t="n">
        <v>10.5</v>
      </c>
      <c r="I147" s="4" t="inlineStr">
        <is>
          <t>WIN</t>
        </is>
      </c>
    </row>
    <row r="148">
      <c r="A148" s="2" t="n">
        <v>147</v>
      </c>
      <c r="B148" s="2" t="inlineStr">
        <is>
          <t>2025-2026</t>
        </is>
      </c>
      <c r="C148" s="2" t="inlineStr">
        <is>
          <t>17/09/2025</t>
        </is>
      </c>
      <c r="D148" s="2" t="inlineStr">
        <is>
          <t>Super Lig (TUR)</t>
        </is>
      </c>
      <c r="E148" s="2" t="inlineStr">
        <is>
          <t>Fenerbahce</t>
        </is>
      </c>
      <c r="F148" s="2" t="inlineStr">
        <is>
          <t>Alanyaspor</t>
        </is>
      </c>
      <c r="G148" s="2" t="inlineStr">
        <is>
          <t>2-2</t>
        </is>
      </c>
      <c r="H148" s="3" t="n">
        <v>10</v>
      </c>
      <c r="I148" s="4" t="inlineStr">
        <is>
          <t>WIN</t>
        </is>
      </c>
    </row>
    <row r="149">
      <c r="A149" s="2" t="n">
        <v>148</v>
      </c>
      <c r="B149" s="2" t="inlineStr">
        <is>
          <t>2025-2026</t>
        </is>
      </c>
      <c r="C149" s="2" t="inlineStr">
        <is>
          <t>21/09/2025</t>
        </is>
      </c>
      <c r="D149" s="2" t="inlineStr">
        <is>
          <t>La Liga</t>
        </is>
      </c>
      <c r="E149" s="2" t="inlineStr">
        <is>
          <t>Barcelona</t>
        </is>
      </c>
      <c r="F149" s="2" t="inlineStr">
        <is>
          <t>Getafe</t>
        </is>
      </c>
      <c r="G149" s="2" t="inlineStr">
        <is>
          <t>3-0</t>
        </is>
      </c>
      <c r="H149" s="3" t="n">
        <v>14</v>
      </c>
      <c r="I149" s="4" t="inlineStr">
        <is>
          <t>WIN</t>
        </is>
      </c>
    </row>
    <row r="150">
      <c r="A150" s="2" t="n">
        <v>149</v>
      </c>
      <c r="B150" s="2" t="inlineStr">
        <is>
          <t>2025-2026</t>
        </is>
      </c>
      <c r="C150" s="2" t="inlineStr">
        <is>
          <t>22/09/2025</t>
        </is>
      </c>
      <c r="D150" s="2" t="inlineStr">
        <is>
          <t>Super Lig (TUR)</t>
        </is>
      </c>
      <c r="E150" s="2" t="inlineStr">
        <is>
          <t>Galatasaray</t>
        </is>
      </c>
      <c r="F150" s="2" t="inlineStr">
        <is>
          <t>Konyaspor</t>
        </is>
      </c>
      <c r="G150" s="2" t="inlineStr">
        <is>
          <t>3-1</t>
        </is>
      </c>
      <c r="H150" s="3" t="n">
        <v>12</v>
      </c>
      <c r="I150" s="4" t="inlineStr">
        <is>
          <t>WIN</t>
        </is>
      </c>
    </row>
    <row r="151">
      <c r="A151" s="2" t="n">
        <v>150</v>
      </c>
      <c r="B151" s="2" t="inlineStr">
        <is>
          <t>2025-2026</t>
        </is>
      </c>
      <c r="C151" s="2" t="inlineStr">
        <is>
          <t>23/09/2025</t>
        </is>
      </c>
      <c r="D151" s="2" t="inlineStr">
        <is>
          <t>La Liga</t>
        </is>
      </c>
      <c r="E151" s="2" t="inlineStr">
        <is>
          <t>Ath Bilbao</t>
        </is>
      </c>
      <c r="F151" s="2" t="inlineStr">
        <is>
          <t>Girona</t>
        </is>
      </c>
      <c r="G151" s="2" t="inlineStr">
        <is>
          <t>1-1</t>
        </is>
      </c>
      <c r="H151" s="3" t="n">
        <v>8.199999999999999</v>
      </c>
      <c r="I151" s="4" t="inlineStr">
        <is>
          <t>WIN</t>
        </is>
      </c>
    </row>
    <row r="152">
      <c r="A152" s="2" t="n">
        <v>151</v>
      </c>
      <c r="B152" s="2" t="inlineStr">
        <is>
          <t>2025-2026</t>
        </is>
      </c>
      <c r="C152" s="2" t="inlineStr">
        <is>
          <t>24/09/2025</t>
        </is>
      </c>
      <c r="D152" s="2" t="inlineStr">
        <is>
          <t>Eredivisie</t>
        </is>
      </c>
      <c r="E152" s="2" t="inlineStr">
        <is>
          <t>AZ Alkmaar</t>
        </is>
      </c>
      <c r="F152" s="2" t="inlineStr">
        <is>
          <t>Zwolle</t>
        </is>
      </c>
      <c r="G152" s="2" t="inlineStr">
        <is>
          <t>2-2</t>
        </is>
      </c>
      <c r="H152" s="3" t="n">
        <v>9</v>
      </c>
      <c r="I152" s="4" t="inlineStr">
        <is>
          <t>WIN</t>
        </is>
      </c>
    </row>
    <row r="153">
      <c r="A153" s="2" t="n">
        <v>152</v>
      </c>
      <c r="B153" s="2" t="inlineStr">
        <is>
          <t>2025-2026</t>
        </is>
      </c>
      <c r="C153" s="2" t="inlineStr">
        <is>
          <t>26/09/2025</t>
        </is>
      </c>
      <c r="D153" s="2" t="inlineStr">
        <is>
          <t>Liga Portugal</t>
        </is>
      </c>
      <c r="E153" s="2" t="inlineStr">
        <is>
          <t>Benfica</t>
        </is>
      </c>
      <c r="F153" s="2" t="inlineStr">
        <is>
          <t>Gil Vicente</t>
        </is>
      </c>
      <c r="G153" s="2" t="inlineStr">
        <is>
          <t>2-1</t>
        </is>
      </c>
      <c r="H153" s="3" t="n">
        <v>13</v>
      </c>
      <c r="I153" s="4" t="inlineStr">
        <is>
          <t>WIN</t>
        </is>
      </c>
    </row>
    <row r="154">
      <c r="A154" s="2" t="n">
        <v>153</v>
      </c>
      <c r="B154" s="2" t="inlineStr">
        <is>
          <t>2025-2026</t>
        </is>
      </c>
      <c r="C154" s="2" t="inlineStr">
        <is>
          <t>26/09/2025</t>
        </is>
      </c>
      <c r="D154" s="2" t="inlineStr">
        <is>
          <t>Eredivisie</t>
        </is>
      </c>
      <c r="E154" s="2" t="inlineStr">
        <is>
          <t>Twente</t>
        </is>
      </c>
      <c r="F154" s="2" t="inlineStr">
        <is>
          <t>For Sittard</t>
        </is>
      </c>
      <c r="G154" s="2" t="inlineStr">
        <is>
          <t>3-2</t>
        </is>
      </c>
      <c r="H154" s="3" t="n">
        <v>8.199999999999999</v>
      </c>
      <c r="I154" s="4" t="inlineStr">
        <is>
          <t>WIN</t>
        </is>
      </c>
    </row>
    <row r="155">
      <c r="A155" s="2" t="n">
        <v>154</v>
      </c>
      <c r="B155" s="2" t="inlineStr">
        <is>
          <t>2025-2026</t>
        </is>
      </c>
      <c r="C155" s="2" t="inlineStr">
        <is>
          <t>27/09/2025</t>
        </is>
      </c>
      <c r="D155" s="2" t="inlineStr">
        <is>
          <t>Eredivisie</t>
        </is>
      </c>
      <c r="E155" s="2" t="inlineStr">
        <is>
          <t>Ajax</t>
        </is>
      </c>
      <c r="F155" s="2" t="inlineStr">
        <is>
          <t>NAC Breda</t>
        </is>
      </c>
      <c r="G155" s="2" t="inlineStr">
        <is>
          <t>2-1</t>
        </is>
      </c>
      <c r="H155" s="3" t="n">
        <v>11</v>
      </c>
      <c r="I155" s="4" t="inlineStr">
        <is>
          <t>WIN</t>
        </is>
      </c>
    </row>
    <row r="156">
      <c r="A156" s="2" t="n">
        <v>155</v>
      </c>
      <c r="B156" s="2" t="inlineStr">
        <is>
          <t>2025-2026</t>
        </is>
      </c>
      <c r="C156" s="2" t="inlineStr">
        <is>
          <t>28/09/2025</t>
        </is>
      </c>
      <c r="D156" s="2" t="inlineStr">
        <is>
          <t>Super Lig (TUR)</t>
        </is>
      </c>
      <c r="E156" s="2" t="inlineStr">
        <is>
          <t>Fenerbahce</t>
        </is>
      </c>
      <c r="F156" s="2" t="inlineStr">
        <is>
          <t>Antalyaspor</t>
        </is>
      </c>
      <c r="G156" s="2" t="inlineStr">
        <is>
          <t>2-0</t>
        </is>
      </c>
      <c r="H156" s="3" t="n">
        <v>14.5</v>
      </c>
      <c r="I156" s="4" t="inlineStr">
        <is>
          <t>WIN</t>
        </is>
      </c>
    </row>
    <row r="157">
      <c r="A157" s="2" t="n">
        <v>156</v>
      </c>
      <c r="B157" s="2" t="inlineStr">
        <is>
          <t>2025-2026</t>
        </is>
      </c>
      <c r="C157" s="2" t="inlineStr">
        <is>
          <t>28/09/2025</t>
        </is>
      </c>
      <c r="D157" s="2" t="inlineStr">
        <is>
          <t>Super League (GRE)</t>
        </is>
      </c>
      <c r="E157" s="2" t="inlineStr">
        <is>
          <t>AEK</t>
        </is>
      </c>
      <c r="F157" s="2" t="inlineStr">
        <is>
          <t>Volos NFC</t>
        </is>
      </c>
      <c r="G157" s="2" t="inlineStr">
        <is>
          <t>1-0</t>
        </is>
      </c>
      <c r="H157" s="3" t="n">
        <v>14.5</v>
      </c>
      <c r="I157" s="4" t="inlineStr">
        <is>
          <t>WIN</t>
        </is>
      </c>
    </row>
    <row r="158">
      <c r="A158" s="2" t="n">
        <v>157</v>
      </c>
      <c r="B158" s="2" t="inlineStr">
        <is>
          <t>2025-2026</t>
        </is>
      </c>
      <c r="C158" s="2" t="inlineStr">
        <is>
          <t>29/09/2025</t>
        </is>
      </c>
      <c r="D158" s="2" t="inlineStr">
        <is>
          <t>Super Lig (TUR)</t>
        </is>
      </c>
      <c r="E158" s="2" t="inlineStr">
        <is>
          <t>Besiktas</t>
        </is>
      </c>
      <c r="F158" s="2" t="inlineStr">
        <is>
          <t>Kocaelispor</t>
        </is>
      </c>
      <c r="G158" s="2" t="inlineStr">
        <is>
          <t>3-1</t>
        </is>
      </c>
      <c r="H158" s="3" t="n">
        <v>9</v>
      </c>
      <c r="I158" s="4" t="inlineStr">
        <is>
          <t>WIN</t>
        </is>
      </c>
    </row>
    <row r="159">
      <c r="A159" s="2" t="n">
        <v>158</v>
      </c>
      <c r="B159" s="2" t="inlineStr">
        <is>
          <t>2025-2026</t>
        </is>
      </c>
      <c r="C159" s="2" t="inlineStr">
        <is>
          <t>30/09/2025</t>
        </is>
      </c>
      <c r="D159" s="2" t="inlineStr">
        <is>
          <t>Championship</t>
        </is>
      </c>
      <c r="E159" s="2" t="inlineStr">
        <is>
          <t>Birmingham</t>
        </is>
      </c>
      <c r="F159" s="2" t="inlineStr">
        <is>
          <t>Sheffield Weds</t>
        </is>
      </c>
      <c r="G159" s="2" t="inlineStr">
        <is>
          <t>2-2</t>
        </is>
      </c>
      <c r="H159" s="3" t="n">
        <v>8.199999999999999</v>
      </c>
      <c r="I159" s="4" t="inlineStr">
        <is>
          <t>WIN</t>
        </is>
      </c>
    </row>
    <row r="160">
      <c r="A160" s="2" t="n">
        <v>159</v>
      </c>
      <c r="B160" s="2" t="inlineStr">
        <is>
          <t>2025-2026</t>
        </is>
      </c>
      <c r="C160" s="2" t="inlineStr">
        <is>
          <t>03/10/2025</t>
        </is>
      </c>
      <c r="D160" s="2" t="inlineStr">
        <is>
          <t>Super Lig (TUR)</t>
        </is>
      </c>
      <c r="E160" s="2" t="inlineStr">
        <is>
          <t>Trabzonspor</t>
        </is>
      </c>
      <c r="F160" s="2" t="inlineStr">
        <is>
          <t>Kayserispor</t>
        </is>
      </c>
      <c r="G160" s="2" t="inlineStr">
        <is>
          <t>4-0</t>
        </is>
      </c>
      <c r="H160" s="3" t="n">
        <v>8.199999999999999</v>
      </c>
      <c r="I160" s="4" t="inlineStr">
        <is>
          <t>WIN</t>
        </is>
      </c>
    </row>
    <row r="161">
      <c r="A161" s="2" t="n">
        <v>160</v>
      </c>
      <c r="B161" s="2" t="inlineStr">
        <is>
          <t>2025-2026</t>
        </is>
      </c>
      <c r="C161" s="2" t="inlineStr">
        <is>
          <t>04/10/2025</t>
        </is>
      </c>
      <c r="D161" s="2" t="inlineStr">
        <is>
          <t>La Liga</t>
        </is>
      </c>
      <c r="E161" s="2" t="inlineStr">
        <is>
          <t>Ath Bilbao</t>
        </is>
      </c>
      <c r="F161" s="2" t="inlineStr">
        <is>
          <t>Mallorca</t>
        </is>
      </c>
      <c r="G161" s="2" t="inlineStr">
        <is>
          <t>2-1</t>
        </is>
      </c>
      <c r="H161" s="3" t="n">
        <v>8</v>
      </c>
      <c r="I161" s="4" t="inlineStr">
        <is>
          <t>WIN</t>
        </is>
      </c>
    </row>
    <row r="162">
      <c r="A162" s="2" t="n">
        <v>161</v>
      </c>
      <c r="B162" s="2" t="inlineStr">
        <is>
          <t>2025-2026</t>
        </is>
      </c>
      <c r="C162" s="2" t="inlineStr">
        <is>
          <t>05/10/2025</t>
        </is>
      </c>
      <c r="D162" s="2" t="inlineStr">
        <is>
          <t>Eredivisie</t>
        </is>
      </c>
      <c r="E162" s="2" t="inlineStr">
        <is>
          <t>AZ Alkmaar</t>
        </is>
      </c>
      <c r="F162" s="2" t="inlineStr">
        <is>
          <t>Telstar</t>
        </is>
      </c>
      <c r="G162" s="2" t="inlineStr">
        <is>
          <t>2-1</t>
        </is>
      </c>
      <c r="H162" s="3" t="n">
        <v>9.800000000000001</v>
      </c>
      <c r="I162" s="4" t="inlineStr">
        <is>
          <t>WIN</t>
        </is>
      </c>
    </row>
    <row r="163">
      <c r="A163" s="2" t="n">
        <v>162</v>
      </c>
      <c r="B163" s="2" t="inlineStr">
        <is>
          <t>2025-2026</t>
        </is>
      </c>
      <c r="C163" s="2" t="inlineStr">
        <is>
          <t>05/10/2025</t>
        </is>
      </c>
      <c r="D163" s="2" t="inlineStr">
        <is>
          <t>Eredivisie</t>
        </is>
      </c>
      <c r="E163" s="2" t="inlineStr">
        <is>
          <t>Twente</t>
        </is>
      </c>
      <c r="F163" s="2" t="inlineStr">
        <is>
          <t>Heracles</t>
        </is>
      </c>
      <c r="G163" s="2" t="inlineStr">
        <is>
          <t>2-1</t>
        </is>
      </c>
      <c r="H163" s="3" t="n">
        <v>9</v>
      </c>
      <c r="I163" s="4" t="inlineStr">
        <is>
          <t>WIN</t>
        </is>
      </c>
    </row>
    <row r="164">
      <c r="A164" s="2" t="n">
        <v>163</v>
      </c>
      <c r="B164" s="2" t="inlineStr">
        <is>
          <t>2025-2026</t>
        </is>
      </c>
      <c r="C164" s="2" t="inlineStr">
        <is>
          <t>18/10/2025</t>
        </is>
      </c>
      <c r="D164" s="2" t="inlineStr">
        <is>
          <t>La Liga</t>
        </is>
      </c>
      <c r="E164" s="2" t="inlineStr">
        <is>
          <t>Barcelona</t>
        </is>
      </c>
      <c r="F164" s="2" t="inlineStr">
        <is>
          <t>Girona</t>
        </is>
      </c>
      <c r="G164" s="2" t="inlineStr">
        <is>
          <t>2-1</t>
        </is>
      </c>
      <c r="H164" s="3" t="n">
        <v>14</v>
      </c>
      <c r="I164" s="4" t="inlineStr">
        <is>
          <t>WIN</t>
        </is>
      </c>
    </row>
    <row r="165">
      <c r="A165" s="2" t="n">
        <v>164</v>
      </c>
      <c r="B165" s="2" t="inlineStr">
        <is>
          <t>2025-2026</t>
        </is>
      </c>
      <c r="C165" s="2" t="inlineStr">
        <is>
          <t>18/10/2025</t>
        </is>
      </c>
      <c r="D165" s="2" t="inlineStr">
        <is>
          <t>La Liga</t>
        </is>
      </c>
      <c r="E165" s="2" t="inlineStr">
        <is>
          <t>Ath Madrid</t>
        </is>
      </c>
      <c r="F165" s="2" t="inlineStr">
        <is>
          <t>Osasuna</t>
        </is>
      </c>
      <c r="G165" s="2" t="inlineStr">
        <is>
          <t>1-0</t>
        </is>
      </c>
      <c r="H165" s="3" t="n">
        <v>10</v>
      </c>
      <c r="I165" s="4" t="inlineStr">
        <is>
          <t>WIN</t>
        </is>
      </c>
    </row>
    <row r="166">
      <c r="A166" s="2" t="n">
        <v>165</v>
      </c>
      <c r="B166" s="2" t="inlineStr">
        <is>
          <t>2025-2026</t>
        </is>
      </c>
      <c r="C166" s="2" t="inlineStr">
        <is>
          <t>01/11/2025</t>
        </is>
      </c>
      <c r="D166" s="2" t="inlineStr">
        <is>
          <t>La Liga</t>
        </is>
      </c>
      <c r="E166" s="2" t="inlineStr">
        <is>
          <t>Ath Madrid</t>
        </is>
      </c>
      <c r="F166" s="2" t="inlineStr">
        <is>
          <t>Sevilla</t>
        </is>
      </c>
      <c r="G166" s="2" t="inlineStr">
        <is>
          <t>3-0</t>
        </is>
      </c>
      <c r="H166" s="3" t="n">
        <v>10</v>
      </c>
      <c r="I166" s="4" t="inlineStr">
        <is>
          <t>WIN</t>
        </is>
      </c>
    </row>
    <row r="167">
      <c r="A167" s="2" t="n">
        <v>166</v>
      </c>
      <c r="B167" s="2" t="inlineStr">
        <is>
          <t>2025-2026</t>
        </is>
      </c>
      <c r="C167" s="2" t="inlineStr">
        <is>
          <t>01/11/2025</t>
        </is>
      </c>
      <c r="D167" s="2" t="inlineStr">
        <is>
          <t>Super Lig (TUR)</t>
        </is>
      </c>
      <c r="E167" s="2" t="inlineStr">
        <is>
          <t>Goztep</t>
        </is>
      </c>
      <c r="F167" s="2" t="inlineStr">
        <is>
          <t>Genclerbirligi</t>
        </is>
      </c>
      <c r="G167" s="2" t="inlineStr">
        <is>
          <t>1-0</t>
        </is>
      </c>
      <c r="H167" s="3" t="n">
        <v>8.4</v>
      </c>
      <c r="I167" s="4" t="inlineStr">
        <is>
          <t>WIN</t>
        </is>
      </c>
    </row>
    <row r="168">
      <c r="A168" s="2" t="n">
        <v>167</v>
      </c>
      <c r="B168" s="2" t="inlineStr">
        <is>
          <t>2025-2026</t>
        </is>
      </c>
      <c r="C168" s="2" t="inlineStr">
        <is>
          <t>02/11/2025</t>
        </is>
      </c>
      <c r="D168" s="2" t="inlineStr">
        <is>
          <t>La Liga</t>
        </is>
      </c>
      <c r="E168" s="2" t="inlineStr">
        <is>
          <t>Barcelona</t>
        </is>
      </c>
      <c r="F168" s="2" t="inlineStr">
        <is>
          <t>Elche</t>
        </is>
      </c>
      <c r="G168" s="2" t="inlineStr">
        <is>
          <t>3-1</t>
        </is>
      </c>
      <c r="H168" s="3" t="n">
        <v>14</v>
      </c>
      <c r="I168" s="4" t="inlineStr">
        <is>
          <t>WIN</t>
        </is>
      </c>
    </row>
    <row r="169">
      <c r="A169" s="2" t="n">
        <v>168</v>
      </c>
      <c r="B169" s="2" t="inlineStr">
        <is>
          <t>2025-2026</t>
        </is>
      </c>
      <c r="C169" s="2" t="inlineStr">
        <is>
          <t>07/11/2025</t>
        </is>
      </c>
      <c r="D169" s="2" t="inlineStr">
        <is>
          <t>Eredivisie</t>
        </is>
      </c>
      <c r="E169" s="2" t="inlineStr">
        <is>
          <t>Twente</t>
        </is>
      </c>
      <c r="F169" s="2" t="inlineStr">
        <is>
          <t>Telstar</t>
        </is>
      </c>
      <c r="G169" s="2" t="inlineStr">
        <is>
          <t>0-0</t>
        </is>
      </c>
      <c r="H169" s="3" t="n">
        <v>9.4</v>
      </c>
      <c r="I169" s="4" t="inlineStr">
        <is>
          <t>WIN</t>
        </is>
      </c>
    </row>
    <row r="170">
      <c r="A170" s="2" t="n">
        <v>169</v>
      </c>
      <c r="B170" s="2" t="inlineStr">
        <is>
          <t>2025-2026</t>
        </is>
      </c>
      <c r="C170" s="2" t="inlineStr">
        <is>
          <t>08/11/2025</t>
        </is>
      </c>
      <c r="D170" s="2" t="inlineStr">
        <is>
          <t>La Liga</t>
        </is>
      </c>
      <c r="E170" s="2" t="inlineStr">
        <is>
          <t>Ath Madrid</t>
        </is>
      </c>
      <c r="F170" s="2" t="inlineStr">
        <is>
          <t>Levante</t>
        </is>
      </c>
      <c r="G170" s="2" t="inlineStr">
        <is>
          <t>3-1</t>
        </is>
      </c>
      <c r="H170" s="3" t="n">
        <v>14</v>
      </c>
      <c r="I170" s="4" t="inlineStr">
        <is>
          <t>WIN</t>
        </is>
      </c>
    </row>
    <row r="171">
      <c r="A171" s="2" t="n">
        <v>170</v>
      </c>
      <c r="B171" s="2" t="inlineStr">
        <is>
          <t>2025-2026</t>
        </is>
      </c>
      <c r="C171" s="2" t="inlineStr">
        <is>
          <t>09/11/2025</t>
        </is>
      </c>
      <c r="D171" s="2" t="inlineStr">
        <is>
          <t>Liga Portugal</t>
        </is>
      </c>
      <c r="E171" s="2" t="inlineStr">
        <is>
          <t>Sp Braga</t>
        </is>
      </c>
      <c r="F171" s="2" t="inlineStr">
        <is>
          <t>Moreirense</t>
        </is>
      </c>
      <c r="G171" s="2" t="inlineStr">
        <is>
          <t>2-1</t>
        </is>
      </c>
      <c r="H171" s="3" t="n">
        <v>9.199999999999999</v>
      </c>
      <c r="I171" s="4" t="inlineStr">
        <is>
          <t>WIN</t>
        </is>
      </c>
    </row>
    <row r="172">
      <c r="A172" s="2" t="n">
        <v>171</v>
      </c>
      <c r="B172" s="2" t="inlineStr">
        <is>
          <t>2025-2026</t>
        </is>
      </c>
      <c r="C172" s="2" t="inlineStr">
        <is>
          <t>09/11/2025</t>
        </is>
      </c>
      <c r="D172" s="2" t="inlineStr">
        <is>
          <t>La Liga</t>
        </is>
      </c>
      <c r="E172" s="2" t="inlineStr">
        <is>
          <t>Ath Bilbao</t>
        </is>
      </c>
      <c r="F172" s="2" t="inlineStr">
        <is>
          <t>Oviedo</t>
        </is>
      </c>
      <c r="G172" s="2" t="inlineStr">
        <is>
          <t>1-0</t>
        </is>
      </c>
      <c r="H172" s="3" t="n">
        <v>8.800000000000001</v>
      </c>
      <c r="I172" s="4" t="inlineStr">
        <is>
          <t>WIN</t>
        </is>
      </c>
    </row>
    <row r="173">
      <c r="A173" s="2" t="n">
        <v>172</v>
      </c>
      <c r="B173" s="2" t="inlineStr">
        <is>
          <t>2025-2026</t>
        </is>
      </c>
      <c r="C173" s="2" t="inlineStr">
        <is>
          <t>22/11/2025</t>
        </is>
      </c>
      <c r="D173" s="2" t="inlineStr">
        <is>
          <t>Eredivisie</t>
        </is>
      </c>
      <c r="E173" s="2" t="inlineStr">
        <is>
          <t>Ajax</t>
        </is>
      </c>
      <c r="F173" s="2" t="inlineStr">
        <is>
          <t>Excelsior</t>
        </is>
      </c>
      <c r="G173" s="2" t="inlineStr">
        <is>
          <t>1-2</t>
        </is>
      </c>
      <c r="H173" s="3" t="n">
        <v>8.199999999999999</v>
      </c>
      <c r="I173" s="5" t="inlineStr">
        <is>
          <t>LOSS</t>
        </is>
      </c>
    </row>
    <row r="174">
      <c r="A174" s="2" t="n">
        <v>173</v>
      </c>
      <c r="B174" s="2" t="inlineStr">
        <is>
          <t>2025-2026</t>
        </is>
      </c>
      <c r="C174" s="2" t="inlineStr">
        <is>
          <t>22/11/2025</t>
        </is>
      </c>
      <c r="D174" s="2" t="inlineStr">
        <is>
          <t>La Liga</t>
        </is>
      </c>
      <c r="E174" s="2" t="inlineStr">
        <is>
          <t>Barcelona</t>
        </is>
      </c>
      <c r="F174" s="2" t="inlineStr">
        <is>
          <t>Ath Bilbao</t>
        </is>
      </c>
      <c r="G174" s="2" t="inlineStr">
        <is>
          <t>4-0</t>
        </is>
      </c>
      <c r="H174" s="3" t="n">
        <v>8</v>
      </c>
      <c r="I174" s="4" t="inlineStr">
        <is>
          <t>WIN</t>
        </is>
      </c>
    </row>
    <row r="175">
      <c r="A175" s="2" t="n">
        <v>174</v>
      </c>
      <c r="B175" s="2" t="inlineStr">
        <is>
          <t>2025-2026</t>
        </is>
      </c>
      <c r="C175" s="2" t="inlineStr">
        <is>
          <t>29/11/2025</t>
        </is>
      </c>
      <c r="D175" s="2" t="inlineStr">
        <is>
          <t>Championship</t>
        </is>
      </c>
      <c r="E175" s="2" t="inlineStr">
        <is>
          <t>Coventry</t>
        </is>
      </c>
      <c r="F175" s="2" t="inlineStr">
        <is>
          <t>Charlton</t>
        </is>
      </c>
      <c r="G175" s="2" t="inlineStr">
        <is>
          <t>3-1</t>
        </is>
      </c>
      <c r="H175" s="3" t="n">
        <v>8.199999999999999</v>
      </c>
      <c r="I175" s="4" t="inlineStr">
        <is>
          <t>WIN</t>
        </is>
      </c>
    </row>
    <row r="176">
      <c r="A176" s="2" t="n">
        <v>175</v>
      </c>
      <c r="B176" s="2" t="inlineStr">
        <is>
          <t>2025-2026</t>
        </is>
      </c>
      <c r="C176" s="2" t="inlineStr">
        <is>
          <t>30/11/2025</t>
        </is>
      </c>
      <c r="D176" s="2" t="inlineStr">
        <is>
          <t>Liga Portugal</t>
        </is>
      </c>
      <c r="E176" s="2" t="inlineStr">
        <is>
          <t>Porto</t>
        </is>
      </c>
      <c r="F176" s="2" t="inlineStr">
        <is>
          <t>Estoril</t>
        </is>
      </c>
      <c r="G176" s="2" t="inlineStr">
        <is>
          <t>1-0</t>
        </is>
      </c>
      <c r="H176" s="3" t="n">
        <v>14.5</v>
      </c>
      <c r="I176" s="4" t="inlineStr">
        <is>
          <t>WIN</t>
        </is>
      </c>
    </row>
    <row r="177">
      <c r="A177" s="2" t="n">
        <v>176</v>
      </c>
      <c r="B177" s="2" t="inlineStr">
        <is>
          <t>2025-2026</t>
        </is>
      </c>
      <c r="C177" s="2" t="inlineStr">
        <is>
          <t>07/12/2025</t>
        </is>
      </c>
      <c r="D177" s="2" t="inlineStr">
        <is>
          <t>La Liga</t>
        </is>
      </c>
      <c r="E177" s="2" t="inlineStr">
        <is>
          <t>Real Madrid</t>
        </is>
      </c>
      <c r="F177" s="2" t="inlineStr">
        <is>
          <t>Celta</t>
        </is>
      </c>
      <c r="G177" s="2" t="inlineStr">
        <is>
          <t>0-2</t>
        </is>
      </c>
      <c r="H177" s="3" t="n">
        <v>10.5</v>
      </c>
      <c r="I177" s="5" t="inlineStr">
        <is>
          <t>LOSS</t>
        </is>
      </c>
    </row>
    <row r="178">
      <c r="A178" s="2" t="n">
        <v>177</v>
      </c>
      <c r="B178" s="2" t="inlineStr">
        <is>
          <t>2025-2026</t>
        </is>
      </c>
      <c r="C178" s="2" t="inlineStr">
        <is>
          <t>13/12/2025</t>
        </is>
      </c>
      <c r="D178" s="2" t="inlineStr">
        <is>
          <t>La Liga</t>
        </is>
      </c>
      <c r="E178" s="2" t="inlineStr">
        <is>
          <t>Barcelona</t>
        </is>
      </c>
      <c r="F178" s="2" t="inlineStr">
        <is>
          <t>Osasuna</t>
        </is>
      </c>
      <c r="G178" s="2" t="inlineStr">
        <is>
          <t>2-0</t>
        </is>
      </c>
      <c r="H178" s="3" t="n">
        <v>14.5</v>
      </c>
      <c r="I178" s="4" t="inlineStr">
        <is>
          <t>WIN</t>
        </is>
      </c>
    </row>
    <row r="179">
      <c r="A179" s="2" t="n">
        <v>178</v>
      </c>
      <c r="B179" s="2" t="inlineStr">
        <is>
          <t>2025-2026</t>
        </is>
      </c>
      <c r="C179" s="2" t="inlineStr">
        <is>
          <t>13/12/2025</t>
        </is>
      </c>
      <c r="D179" s="2" t="inlineStr">
        <is>
          <t>La Liga</t>
        </is>
      </c>
      <c r="E179" s="2" t="inlineStr">
        <is>
          <t>Ath Madrid</t>
        </is>
      </c>
      <c r="F179" s="2" t="inlineStr">
        <is>
          <t>Valencia</t>
        </is>
      </c>
      <c r="G179" s="2" t="inlineStr">
        <is>
          <t>2-1</t>
        </is>
      </c>
      <c r="H179" s="3" t="n">
        <v>12</v>
      </c>
      <c r="I179" s="4" t="inlineStr">
        <is>
          <t>WIN</t>
        </is>
      </c>
    </row>
    <row r="180">
      <c r="A180" s="2" t="n">
        <v>179</v>
      </c>
      <c r="B180" s="2" t="inlineStr">
        <is>
          <t>2025-2026</t>
        </is>
      </c>
      <c r="C180" s="2" t="inlineStr">
        <is>
          <t>14/12/2025</t>
        </is>
      </c>
      <c r="D180" s="2" t="inlineStr">
        <is>
          <t>Eredivisie</t>
        </is>
      </c>
      <c r="E180" s="2" t="inlineStr">
        <is>
          <t>Twente</t>
        </is>
      </c>
      <c r="F180" s="2" t="inlineStr">
        <is>
          <t>Go Ahead Eagles</t>
        </is>
      </c>
      <c r="G180" s="2" t="inlineStr">
        <is>
          <t>2-0</t>
        </is>
      </c>
      <c r="H180" s="3" t="n">
        <v>8.199999999999999</v>
      </c>
      <c r="I180" s="4" t="inlineStr">
        <is>
          <t>WIN</t>
        </is>
      </c>
    </row>
    <row r="181">
      <c r="A181" s="2" t="n">
        <v>180</v>
      </c>
      <c r="B181" s="2" t="inlineStr">
        <is>
          <t>2025-2026</t>
        </is>
      </c>
      <c r="C181" s="2" t="inlineStr">
        <is>
          <t>15/12/2025</t>
        </is>
      </c>
      <c r="D181" s="2" t="inlineStr">
        <is>
          <t>Super Lig (TUR)</t>
        </is>
      </c>
      <c r="E181" s="2" t="inlineStr">
        <is>
          <t>Fenerbahce</t>
        </is>
      </c>
      <c r="F181" s="2" t="inlineStr">
        <is>
          <t>Konyaspor</t>
        </is>
      </c>
      <c r="G181" s="2" t="inlineStr">
        <is>
          <t>4-0</t>
        </is>
      </c>
      <c r="H181" s="3" t="n">
        <v>12</v>
      </c>
      <c r="I181" s="4" t="inlineStr">
        <is>
          <t>WIN</t>
        </is>
      </c>
    </row>
    <row r="182">
      <c r="A182" s="2" t="n">
        <v>181</v>
      </c>
      <c r="B182" s="2" t="inlineStr">
        <is>
          <t>2025-2026</t>
        </is>
      </c>
      <c r="C182" s="2" t="inlineStr">
        <is>
          <t>15/12/2025</t>
        </is>
      </c>
      <c r="D182" s="2" t="inlineStr">
        <is>
          <t>Liga Portugal</t>
        </is>
      </c>
      <c r="E182" s="2" t="inlineStr">
        <is>
          <t>Sp Braga</t>
        </is>
      </c>
      <c r="F182" s="2" t="inlineStr">
        <is>
          <t>Santa Clara</t>
        </is>
      </c>
      <c r="G182" s="2" t="inlineStr">
        <is>
          <t>1-0</t>
        </is>
      </c>
      <c r="H182" s="3" t="n">
        <v>8.4</v>
      </c>
      <c r="I182" s="4" t="inlineStr">
        <is>
          <t>WIN</t>
        </is>
      </c>
    </row>
    <row r="183">
      <c r="A183" s="2" t="n">
        <v>182</v>
      </c>
      <c r="B183" s="2" t="inlineStr">
        <is>
          <t>2025-2026</t>
        </is>
      </c>
      <c r="C183" s="2" t="inlineStr">
        <is>
          <t>20/12/2025</t>
        </is>
      </c>
      <c r="D183" s="2" t="inlineStr">
        <is>
          <t>La Liga</t>
        </is>
      </c>
      <c r="E183" s="2" t="inlineStr">
        <is>
          <t>Real Madrid</t>
        </is>
      </c>
      <c r="F183" s="2" t="inlineStr">
        <is>
          <t>Sevilla</t>
        </is>
      </c>
      <c r="G183" s="2" t="inlineStr">
        <is>
          <t>2-0</t>
        </is>
      </c>
      <c r="H183" s="3" t="n">
        <v>14.5</v>
      </c>
      <c r="I183" s="4" t="inlineStr">
        <is>
          <t>WIN</t>
        </is>
      </c>
    </row>
    <row r="184">
      <c r="A184" s="2" t="n">
        <v>183</v>
      </c>
      <c r="B184" s="2" t="inlineStr">
        <is>
          <t>2025-2026</t>
        </is>
      </c>
      <c r="C184" s="2" t="inlineStr">
        <is>
          <t>21/12/2025</t>
        </is>
      </c>
      <c r="D184" s="2" t="inlineStr">
        <is>
          <t>Super Lig (TUR)</t>
        </is>
      </c>
      <c r="E184" s="2" t="inlineStr">
        <is>
          <t>Galatasaray</t>
        </is>
      </c>
      <c r="F184" s="2" t="inlineStr">
        <is>
          <t>Kasimpasa</t>
        </is>
      </c>
      <c r="G184" s="2" t="inlineStr">
        <is>
          <t>3-0</t>
        </is>
      </c>
      <c r="H184" s="3" t="n">
        <v>12.5</v>
      </c>
      <c r="I184" s="4" t="inlineStr">
        <is>
          <t>WIN</t>
        </is>
      </c>
    </row>
    <row r="185">
      <c r="A185" s="2" t="n">
        <v>184</v>
      </c>
      <c r="B185" s="2" t="inlineStr">
        <is>
          <t>2025-2026</t>
        </is>
      </c>
      <c r="C185" s="2" t="inlineStr">
        <is>
          <t>22/12/2025</t>
        </is>
      </c>
      <c r="D185" s="2" t="inlineStr">
        <is>
          <t>Liga Portugal</t>
        </is>
      </c>
      <c r="E185" s="2" t="inlineStr">
        <is>
          <t>Benfica</t>
        </is>
      </c>
      <c r="F185" s="2" t="inlineStr">
        <is>
          <t>Famalicao</t>
        </is>
      </c>
      <c r="G185" s="2" t="inlineStr">
        <is>
          <t>1-0</t>
        </is>
      </c>
      <c r="H185" s="3" t="n">
        <v>10.5</v>
      </c>
      <c r="I185" s="4" t="inlineStr">
        <is>
          <t>WIN</t>
        </is>
      </c>
    </row>
    <row r="186">
      <c r="A186" s="2" t="n">
        <v>185</v>
      </c>
      <c r="B186" s="2" t="inlineStr">
        <is>
          <t>2025-2026</t>
        </is>
      </c>
      <c r="C186" s="2" t="inlineStr">
        <is>
          <t>01/01/2026</t>
        </is>
      </c>
      <c r="D186" s="2" t="inlineStr">
        <is>
          <t>Championship</t>
        </is>
      </c>
      <c r="E186" s="2" t="inlineStr">
        <is>
          <t>Ipswich</t>
        </is>
      </c>
      <c r="F186" s="2" t="inlineStr">
        <is>
          <t>Oxford</t>
        </is>
      </c>
      <c r="G186" s="2" t="inlineStr">
        <is>
          <t>2-1</t>
        </is>
      </c>
      <c r="H186" s="3" t="n">
        <v>12</v>
      </c>
      <c r="I186" s="4" t="inlineStr">
        <is>
          <t>WIN</t>
        </is>
      </c>
    </row>
    <row r="187">
      <c r="A187" s="2" t="n">
        <v>186</v>
      </c>
      <c r="B187" s="2" t="inlineStr">
        <is>
          <t>2025-2026</t>
        </is>
      </c>
      <c r="C187" s="2" t="inlineStr">
        <is>
          <t>02/01/2026</t>
        </is>
      </c>
      <c r="D187" s="2" t="inlineStr">
        <is>
          <t>Segunda</t>
        </is>
      </c>
      <c r="E187" s="2" t="inlineStr">
        <is>
          <t>Eibar</t>
        </is>
      </c>
      <c r="F187" s="2" t="inlineStr">
        <is>
          <t>Mirandes</t>
        </is>
      </c>
      <c r="G187" s="2" t="inlineStr">
        <is>
          <t>2-1</t>
        </is>
      </c>
      <c r="H187" s="3" t="n">
        <v>8.199999999999999</v>
      </c>
      <c r="I187" s="4" t="inlineStr">
        <is>
          <t>WIN</t>
        </is>
      </c>
    </row>
    <row r="188">
      <c r="A188" s="2" t="n">
        <v>187</v>
      </c>
      <c r="B188" s="2" t="inlineStr">
        <is>
          <t>2025-2026</t>
        </is>
      </c>
      <c r="C188" s="2" t="inlineStr">
        <is>
          <t>03/01/2026</t>
        </is>
      </c>
      <c r="D188" s="2" t="inlineStr">
        <is>
          <t>Liga Portugal</t>
        </is>
      </c>
      <c r="E188" s="2" t="inlineStr">
        <is>
          <t>Benfica</t>
        </is>
      </c>
      <c r="F188" s="2" t="inlineStr">
        <is>
          <t>Estoril</t>
        </is>
      </c>
      <c r="G188" s="2" t="inlineStr">
        <is>
          <t>3-1</t>
        </is>
      </c>
      <c r="H188" s="3" t="n">
        <v>14</v>
      </c>
      <c r="I188" s="4" t="inlineStr">
        <is>
          <t>WIN</t>
        </is>
      </c>
    </row>
    <row r="189">
      <c r="A189" s="2" t="n">
        <v>188</v>
      </c>
      <c r="B189" s="2" t="inlineStr">
        <is>
          <t>2025-2026</t>
        </is>
      </c>
      <c r="C189" s="2" t="inlineStr">
        <is>
          <t>04/01/2026</t>
        </is>
      </c>
      <c r="D189" s="2" t="inlineStr">
        <is>
          <t>Championship</t>
        </is>
      </c>
      <c r="E189" s="2" t="inlineStr">
        <is>
          <t>QPR</t>
        </is>
      </c>
      <c r="F189" s="2" t="inlineStr">
        <is>
          <t>Sheffield Weds</t>
        </is>
      </c>
      <c r="G189" s="2" t="inlineStr">
        <is>
          <t>3-0</t>
        </is>
      </c>
      <c r="H189" s="3" t="n">
        <v>8.6</v>
      </c>
      <c r="I189" s="4" t="inlineStr">
        <is>
          <t>WIN</t>
        </is>
      </c>
    </row>
    <row r="190">
      <c r="A190" s="2" t="n">
        <v>189</v>
      </c>
      <c r="B190" s="2" t="inlineStr">
        <is>
          <t>2025-2026</t>
        </is>
      </c>
      <c r="C190" s="2" t="inlineStr">
        <is>
          <t>10/01/2026</t>
        </is>
      </c>
      <c r="D190" s="2" t="inlineStr">
        <is>
          <t>Eredivisie</t>
        </is>
      </c>
      <c r="E190" s="2" t="inlineStr">
        <is>
          <t>AZ Alkmaar</t>
        </is>
      </c>
      <c r="F190" s="2" t="inlineStr">
        <is>
          <t>Volendam</t>
        </is>
      </c>
      <c r="G190" s="2" t="inlineStr">
        <is>
          <t>1-0</t>
        </is>
      </c>
      <c r="H190" s="3" t="n">
        <v>13</v>
      </c>
      <c r="I190" s="4" t="inlineStr">
        <is>
          <t>WIN</t>
        </is>
      </c>
    </row>
    <row r="191">
      <c r="A191" s="2" t="n">
        <v>190</v>
      </c>
      <c r="B191" s="2" t="inlineStr">
        <is>
          <t>2025-2026</t>
        </is>
      </c>
      <c r="C191" s="2" t="inlineStr">
        <is>
          <t>10/01/2026</t>
        </is>
      </c>
      <c r="D191" s="2" t="inlineStr">
        <is>
          <t>Eredivisie</t>
        </is>
      </c>
      <c r="E191" s="2" t="inlineStr">
        <is>
          <t>Twente</t>
        </is>
      </c>
      <c r="F191" s="2" t="inlineStr">
        <is>
          <t>Zwolle</t>
        </is>
      </c>
      <c r="G191" s="2" t="inlineStr">
        <is>
          <t>1-1</t>
        </is>
      </c>
      <c r="H191" s="3" t="n">
        <v>10</v>
      </c>
      <c r="I191" s="4" t="inlineStr">
        <is>
          <t>WIN</t>
        </is>
      </c>
    </row>
    <row r="192">
      <c r="A192" s="2" t="n">
        <v>191</v>
      </c>
      <c r="B192" s="2" t="inlineStr">
        <is>
          <t>2025-2026</t>
        </is>
      </c>
      <c r="C192" s="2" t="inlineStr">
        <is>
          <t>17/01/2026</t>
        </is>
      </c>
      <c r="D192" s="2" t="inlineStr">
        <is>
          <t>Super Lig (TUR)</t>
        </is>
      </c>
      <c r="E192" s="2" t="inlineStr">
        <is>
          <t>Galatasaray</t>
        </is>
      </c>
      <c r="F192" s="2" t="inlineStr">
        <is>
          <t>Gaziantep</t>
        </is>
      </c>
      <c r="G192" s="2" t="inlineStr">
        <is>
          <t>1-1</t>
        </is>
      </c>
      <c r="H192" s="3" t="n">
        <v>13</v>
      </c>
      <c r="I192" s="4" t="inlineStr">
        <is>
          <t>WIN</t>
        </is>
      </c>
    </row>
    <row r="193">
      <c r="A193" s="2" t="n">
        <v>192</v>
      </c>
      <c r="B193" s="2" t="inlineStr">
        <is>
          <t>2025-2026</t>
        </is>
      </c>
      <c r="C193" s="2" t="inlineStr">
        <is>
          <t>18/01/2026</t>
        </is>
      </c>
      <c r="D193" s="2" t="inlineStr">
        <is>
          <t>La Liga</t>
        </is>
      </c>
      <c r="E193" s="2" t="inlineStr">
        <is>
          <t>Ath Madrid</t>
        </is>
      </c>
      <c r="F193" s="2" t="inlineStr">
        <is>
          <t>Alaves</t>
        </is>
      </c>
      <c r="G193" s="2" t="inlineStr">
        <is>
          <t>1-0</t>
        </is>
      </c>
      <c r="H193" s="3" t="n">
        <v>11.5</v>
      </c>
      <c r="I193" s="4" t="inlineStr">
        <is>
          <t>WIN</t>
        </is>
      </c>
    </row>
    <row r="194">
      <c r="A194" s="2" t="n">
        <v>193</v>
      </c>
      <c r="B194" s="2" t="inlineStr">
        <is>
          <t>2025-2026</t>
        </is>
      </c>
      <c r="C194" s="2" t="inlineStr">
        <is>
          <t>21/01/2026</t>
        </is>
      </c>
      <c r="D194" s="2" t="inlineStr">
        <is>
          <t>Eredivisie</t>
        </is>
      </c>
      <c r="E194" s="2" t="inlineStr">
        <is>
          <t>AZ Alkmaar</t>
        </is>
      </c>
      <c r="F194" s="2" t="inlineStr">
        <is>
          <t>Excelsior</t>
        </is>
      </c>
      <c r="G194" s="2" t="inlineStr">
        <is>
          <t>1-1</t>
        </is>
      </c>
      <c r="H194" s="3" t="n">
        <v>9.6</v>
      </c>
      <c r="I194" s="4" t="inlineStr">
        <is>
          <t>WIN</t>
        </is>
      </c>
    </row>
    <row r="195">
      <c r="A195" s="2" t="n">
        <v>194</v>
      </c>
      <c r="B195" s="2" t="inlineStr">
        <is>
          <t>2025-2026</t>
        </is>
      </c>
      <c r="C195" s="2" t="inlineStr">
        <is>
          <t>24/01/2026</t>
        </is>
      </c>
      <c r="D195" s="2" t="inlineStr">
        <is>
          <t>Championship</t>
        </is>
      </c>
      <c r="E195" s="2" t="inlineStr">
        <is>
          <t>Bristol City</t>
        </is>
      </c>
      <c r="F195" s="2" t="inlineStr">
        <is>
          <t>Sheffield Weds</t>
        </is>
      </c>
      <c r="G195" s="2" t="inlineStr">
        <is>
          <t>2-0</t>
        </is>
      </c>
      <c r="H195" s="3" t="n">
        <v>13</v>
      </c>
      <c r="I195" s="4" t="inlineStr">
        <is>
          <t>WIN</t>
        </is>
      </c>
    </row>
    <row r="196">
      <c r="A196" s="2" t="n">
        <v>195</v>
      </c>
      <c r="B196" s="2" t="inlineStr">
        <is>
          <t>2025-2026</t>
        </is>
      </c>
      <c r="C196" s="2" t="inlineStr">
        <is>
          <t>24/01/2026</t>
        </is>
      </c>
      <c r="D196" s="2" t="inlineStr">
        <is>
          <t>Eredivisie</t>
        </is>
      </c>
      <c r="E196" s="2" t="inlineStr">
        <is>
          <t>PSV Eindhoven</t>
        </is>
      </c>
      <c r="F196" s="2" t="inlineStr">
        <is>
          <t>NAC Breda</t>
        </is>
      </c>
      <c r="G196" s="2" t="inlineStr">
        <is>
          <t>2-2</t>
        </is>
      </c>
      <c r="H196" s="3" t="n">
        <v>12</v>
      </c>
      <c r="I196" s="4" t="inlineStr">
        <is>
          <t>WIN</t>
        </is>
      </c>
    </row>
    <row r="197">
      <c r="A197" s="2" t="n">
        <v>196</v>
      </c>
      <c r="B197" s="2" t="inlineStr">
        <is>
          <t>2025-2026</t>
        </is>
      </c>
      <c r="C197" s="2" t="inlineStr">
        <is>
          <t>25/01/2026</t>
        </is>
      </c>
      <c r="D197" s="2" t="inlineStr">
        <is>
          <t>La Liga</t>
        </is>
      </c>
      <c r="E197" s="2" t="inlineStr">
        <is>
          <t>Ath Madrid</t>
        </is>
      </c>
      <c r="F197" s="2" t="inlineStr">
        <is>
          <t>Mallorca</t>
        </is>
      </c>
      <c r="G197" s="2" t="inlineStr">
        <is>
          <t>3-0</t>
        </is>
      </c>
      <c r="H197" s="3" t="n">
        <v>12</v>
      </c>
      <c r="I197" s="4" t="inlineStr">
        <is>
          <t>WIN</t>
        </is>
      </c>
    </row>
    <row r="198">
      <c r="A198" s="2" t="n">
        <v>197</v>
      </c>
      <c r="B198" s="2" t="inlineStr">
        <is>
          <t>2025-2026</t>
        </is>
      </c>
      <c r="C198" s="2" t="inlineStr">
        <is>
          <t>25/01/2026</t>
        </is>
      </c>
      <c r="D198" s="2" t="inlineStr">
        <is>
          <t>Eredivisie</t>
        </is>
      </c>
      <c r="E198" s="2" t="inlineStr">
        <is>
          <t>Feyenoord</t>
        </is>
      </c>
      <c r="F198" s="2" t="inlineStr">
        <is>
          <t>Heracles</t>
        </is>
      </c>
      <c r="G198" s="2" t="inlineStr">
        <is>
          <t>4-2</t>
        </is>
      </c>
      <c r="H198" s="3" t="n">
        <v>12</v>
      </c>
      <c r="I198" s="4" t="inlineStr">
        <is>
          <t>WIN</t>
        </is>
      </c>
    </row>
    <row r="199">
      <c r="A199" s="2" t="n">
        <v>198</v>
      </c>
      <c r="B199" s="2" t="inlineStr">
        <is>
          <t>2025-2026</t>
        </is>
      </c>
      <c r="C199" s="2" t="inlineStr">
        <is>
          <t>26/01/2026</t>
        </is>
      </c>
      <c r="D199" s="2" t="inlineStr">
        <is>
          <t>Liga Portugal</t>
        </is>
      </c>
      <c r="E199" s="2" t="inlineStr">
        <is>
          <t>Porto</t>
        </is>
      </c>
      <c r="F199" s="2" t="inlineStr">
        <is>
          <t>Gil Vicente</t>
        </is>
      </c>
      <c r="G199" s="2" t="inlineStr">
        <is>
          <t>3-0</t>
        </is>
      </c>
      <c r="H199" s="3" t="n">
        <v>11</v>
      </c>
      <c r="I199" s="4" t="inlineStr">
        <is>
          <t>WIN</t>
        </is>
      </c>
    </row>
    <row r="200">
      <c r="A200" s="2" t="n">
        <v>199</v>
      </c>
      <c r="B200" s="2" t="inlineStr">
        <is>
          <t>2025-2026</t>
        </is>
      </c>
      <c r="C200" s="2" t="inlineStr">
        <is>
          <t>31/01/2026</t>
        </is>
      </c>
      <c r="D200" s="2" t="inlineStr">
        <is>
          <t>Championship</t>
        </is>
      </c>
      <c r="E200" s="2" t="inlineStr">
        <is>
          <t>Ipswich</t>
        </is>
      </c>
      <c r="F200" s="2" t="inlineStr">
        <is>
          <t>Preston</t>
        </is>
      </c>
      <c r="G200" s="2" t="inlineStr">
        <is>
          <t>1-1</t>
        </is>
      </c>
      <c r="H200" s="3" t="n">
        <v>10</v>
      </c>
      <c r="I200" s="4" t="inlineStr">
        <is>
          <t>WIN</t>
        </is>
      </c>
    </row>
    <row r="201">
      <c r="A201" s="2" t="n">
        <v>200</v>
      </c>
      <c r="B201" s="2" t="inlineStr">
        <is>
          <t>2025-2026</t>
        </is>
      </c>
      <c r="C201" s="2" t="inlineStr">
        <is>
          <t>31/01/2026</t>
        </is>
      </c>
      <c r="D201" s="2" t="inlineStr">
        <is>
          <t>Super Lig (TUR)</t>
        </is>
      </c>
      <c r="E201" s="2" t="inlineStr">
        <is>
          <t>Alanyaspor</t>
        </is>
      </c>
      <c r="F201" s="2" t="inlineStr">
        <is>
          <t>Eyupspor</t>
        </is>
      </c>
      <c r="G201" s="2" t="inlineStr">
        <is>
          <t>1-3</t>
        </is>
      </c>
      <c r="H201" s="3" t="n">
        <v>8.800000000000001</v>
      </c>
      <c r="I201" s="5" t="inlineStr">
        <is>
          <t>LOSS</t>
        </is>
      </c>
    </row>
    <row r="202">
      <c r="A202" s="2" t="n">
        <v>201</v>
      </c>
      <c r="B202" s="2" t="inlineStr">
        <is>
          <t>2025-2026</t>
        </is>
      </c>
      <c r="C202" s="2" t="inlineStr">
        <is>
          <t>01/02/2026</t>
        </is>
      </c>
      <c r="D202" s="2" t="inlineStr">
        <is>
          <t>La Liga</t>
        </is>
      </c>
      <c r="E202" s="2" t="inlineStr">
        <is>
          <t>Real Madrid</t>
        </is>
      </c>
      <c r="F202" s="2" t="inlineStr">
        <is>
          <t>Vallecano</t>
        </is>
      </c>
      <c r="G202" s="2" t="inlineStr">
        <is>
          <t>2-1</t>
        </is>
      </c>
      <c r="H202" s="3" t="n">
        <v>13</v>
      </c>
      <c r="I202" s="4" t="inlineStr">
        <is>
          <t>WIN</t>
        </is>
      </c>
    </row>
    <row r="203">
      <c r="A203" s="2" t="n">
        <v>202</v>
      </c>
      <c r="B203" s="2" t="inlineStr">
        <is>
          <t>2025-2026</t>
        </is>
      </c>
      <c r="C203" s="2" t="inlineStr">
        <is>
          <t>01/02/2026</t>
        </is>
      </c>
      <c r="D203" s="2" t="inlineStr">
        <is>
          <t>Super League (GRE)</t>
        </is>
      </c>
      <c r="E203" s="2" t="inlineStr">
        <is>
          <t>Panathinaikos</t>
        </is>
      </c>
      <c r="F203" s="2" t="inlineStr">
        <is>
          <t>Kifisia</t>
        </is>
      </c>
      <c r="G203" s="2" t="inlineStr">
        <is>
          <t>3-0</t>
        </is>
      </c>
      <c r="H203" s="3" t="n">
        <v>11</v>
      </c>
      <c r="I203" s="4" t="inlineStr">
        <is>
          <t>WIN</t>
        </is>
      </c>
    </row>
    <row r="204">
      <c r="A204" s="2" t="n">
        <v>203</v>
      </c>
      <c r="B204" s="2" t="inlineStr">
        <is>
          <t>2025-2026</t>
        </is>
      </c>
      <c r="C204" s="2" t="inlineStr">
        <is>
          <t>03/02/2026</t>
        </is>
      </c>
      <c r="D204" s="2" t="inlineStr">
        <is>
          <t>Championship</t>
        </is>
      </c>
      <c r="E204" s="2" t="inlineStr">
        <is>
          <t>Blackburn</t>
        </is>
      </c>
      <c r="F204" s="2" t="inlineStr">
        <is>
          <t>Sheffield Weds</t>
        </is>
      </c>
      <c r="G204" s="2" t="inlineStr">
        <is>
          <t>1-0</t>
        </is>
      </c>
      <c r="H204" s="3" t="n">
        <v>10.5</v>
      </c>
      <c r="I204" s="4" t="inlineStr">
        <is>
          <t>WIN</t>
        </is>
      </c>
    </row>
    <row r="205">
      <c r="A205" s="2" t="n">
        <v>204</v>
      </c>
      <c r="B205" s="2" t="inlineStr">
        <is>
          <t>2025-2026</t>
        </is>
      </c>
      <c r="C205" s="2" t="inlineStr">
        <is>
          <t>03/02/2026</t>
        </is>
      </c>
      <c r="D205" s="2" t="inlineStr">
        <is>
          <t>Championship</t>
        </is>
      </c>
      <c r="E205" s="2" t="inlineStr">
        <is>
          <t>Sheffield United</t>
        </is>
      </c>
      <c r="F205" s="2" t="inlineStr">
        <is>
          <t>Oxford</t>
        </is>
      </c>
      <c r="G205" s="2" t="inlineStr">
        <is>
          <t>3-1</t>
        </is>
      </c>
      <c r="H205" s="3" t="n">
        <v>9.199999999999999</v>
      </c>
      <c r="I205" s="4" t="inlineStr">
        <is>
          <t>WIN</t>
        </is>
      </c>
    </row>
    <row r="206">
      <c r="A206" s="2" t="n">
        <v>205</v>
      </c>
      <c r="B206" s="2" t="inlineStr">
        <is>
          <t>2025-2026</t>
        </is>
      </c>
      <c r="C206" s="2" t="inlineStr">
        <is>
          <t>07/02/2026</t>
        </is>
      </c>
      <c r="D206" s="2" t="inlineStr">
        <is>
          <t>Championship</t>
        </is>
      </c>
      <c r="E206" s="2" t="inlineStr">
        <is>
          <t>Coventry</t>
        </is>
      </c>
      <c r="F206" s="2" t="inlineStr">
        <is>
          <t>Oxford</t>
        </is>
      </c>
      <c r="G206" s="2" t="inlineStr">
        <is>
          <t>0-0</t>
        </is>
      </c>
      <c r="H206" s="3" t="n">
        <v>8</v>
      </c>
      <c r="I206" s="4" t="inlineStr">
        <is>
          <t>WIN</t>
        </is>
      </c>
    </row>
    <row r="207">
      <c r="A207" s="2" t="n">
        <v>206</v>
      </c>
      <c r="B207" s="2" t="inlineStr">
        <is>
          <t>2025-2026</t>
        </is>
      </c>
      <c r="C207" s="2" t="inlineStr">
        <is>
          <t>08/02/2026</t>
        </is>
      </c>
      <c r="D207" s="2" t="inlineStr">
        <is>
          <t>Liga Portugal</t>
        </is>
      </c>
      <c r="E207" s="2" t="inlineStr">
        <is>
          <t>Sp Braga</t>
        </is>
      </c>
      <c r="F207" s="2" t="inlineStr">
        <is>
          <t>Rio Ave</t>
        </is>
      </c>
      <c r="G207" s="2" t="inlineStr">
        <is>
          <t>3-0</t>
        </is>
      </c>
      <c r="H207" s="3" t="n">
        <v>13</v>
      </c>
      <c r="I207" s="4" t="inlineStr">
        <is>
          <t>WIN</t>
        </is>
      </c>
    </row>
    <row r="208">
      <c r="A208" s="2" t="n">
        <v>207</v>
      </c>
      <c r="B208" s="2" t="inlineStr">
        <is>
          <t>2025-2026</t>
        </is>
      </c>
      <c r="C208" s="2" t="inlineStr">
        <is>
          <t>08/02/2026</t>
        </is>
      </c>
      <c r="D208" s="2" t="inlineStr">
        <is>
          <t>Championship</t>
        </is>
      </c>
      <c r="E208" s="2" t="inlineStr">
        <is>
          <t>Swansea</t>
        </is>
      </c>
      <c r="F208" s="2" t="inlineStr">
        <is>
          <t>Sheffield Weds</t>
        </is>
      </c>
      <c r="G208" s="2" t="inlineStr">
        <is>
          <t>4-0</t>
        </is>
      </c>
      <c r="H208" s="3" t="n">
        <v>12.5</v>
      </c>
      <c r="I208" s="4" t="inlineStr">
        <is>
          <t>WIN</t>
        </is>
      </c>
    </row>
    <row r="209">
      <c r="A209" s="2" t="n">
        <v>208</v>
      </c>
      <c r="B209" s="2" t="inlineStr">
        <is>
          <t>2025-2026</t>
        </is>
      </c>
      <c r="C209" s="2" t="inlineStr">
        <is>
          <t>09/02/2026</t>
        </is>
      </c>
      <c r="D209" s="2" t="inlineStr">
        <is>
          <t>Super Lig (TUR)</t>
        </is>
      </c>
      <c r="E209" s="2" t="inlineStr">
        <is>
          <t>Fenerbahce</t>
        </is>
      </c>
      <c r="F209" s="2" t="inlineStr">
        <is>
          <t>Genclerbirligi</t>
        </is>
      </c>
      <c r="G209" s="2" t="inlineStr">
        <is>
          <t>3-1</t>
        </is>
      </c>
      <c r="H209" s="3" t="n">
        <v>11</v>
      </c>
      <c r="I209" s="4" t="inlineStr">
        <is>
          <t>WIN</t>
        </is>
      </c>
    </row>
    <row r="210">
      <c r="A210" s="2" t="n">
        <v>209</v>
      </c>
      <c r="B210" s="2" t="inlineStr">
        <is>
          <t>2025-2026</t>
        </is>
      </c>
      <c r="C210" s="2" t="inlineStr">
        <is>
          <t>09/02/2026</t>
        </is>
      </c>
      <c r="D210" s="2" t="inlineStr">
        <is>
          <t>Liga Portugal</t>
        </is>
      </c>
      <c r="E210" s="2" t="inlineStr">
        <is>
          <t>Famalicao</t>
        </is>
      </c>
      <c r="F210" s="2" t="inlineStr">
        <is>
          <t>AVS</t>
        </is>
      </c>
      <c r="G210" s="2" t="inlineStr">
        <is>
          <t>3-1</t>
        </is>
      </c>
      <c r="H210" s="3" t="n">
        <v>9</v>
      </c>
      <c r="I210" s="4" t="inlineStr">
        <is>
          <t>WIN</t>
        </is>
      </c>
    </row>
    <row r="211">
      <c r="A211" s="2" t="n">
        <v>210</v>
      </c>
      <c r="B211" s="2" t="inlineStr">
        <is>
          <t>2025-2026</t>
        </is>
      </c>
      <c r="C211" s="2" t="inlineStr">
        <is>
          <t>14/02/2026</t>
        </is>
      </c>
      <c r="D211" s="2" t="inlineStr">
        <is>
          <t>La Liga</t>
        </is>
      </c>
      <c r="E211" s="2" t="inlineStr">
        <is>
          <t>Real Madrid</t>
        </is>
      </c>
      <c r="F211" s="2" t="inlineStr">
        <is>
          <t>Sociedad</t>
        </is>
      </c>
      <c r="G211" s="2" t="inlineStr">
        <is>
          <t>4-1</t>
        </is>
      </c>
      <c r="H211" s="3" t="n">
        <v>8.199999999999999</v>
      </c>
      <c r="I211" s="4" t="inlineStr">
        <is>
          <t>WIN</t>
        </is>
      </c>
    </row>
    <row r="212">
      <c r="A212" s="2" t="n">
        <v>211</v>
      </c>
      <c r="B212" s="2" t="inlineStr">
        <is>
          <t>2025-2026</t>
        </is>
      </c>
      <c r="C212" s="2" t="inlineStr">
        <is>
          <t>14/02/2026</t>
        </is>
      </c>
      <c r="D212" s="2" t="inlineStr">
        <is>
          <t>Eredivisie</t>
        </is>
      </c>
      <c r="E212" s="2" t="inlineStr">
        <is>
          <t>Ajax</t>
        </is>
      </c>
      <c r="F212" s="2" t="inlineStr">
        <is>
          <t>For Sittard</t>
        </is>
      </c>
      <c r="G212" s="2" t="inlineStr">
        <is>
          <t>4-1</t>
        </is>
      </c>
      <c r="H212" s="3" t="n">
        <v>8.199999999999999</v>
      </c>
      <c r="I212" s="4" t="inlineStr">
        <is>
          <t>WIN</t>
        </is>
      </c>
    </row>
    <row r="213">
      <c r="A213" s="2" t="n">
        <v>212</v>
      </c>
      <c r="B213" s="2" t="inlineStr">
        <is>
          <t>2025-2026</t>
        </is>
      </c>
      <c r="C213" s="2" t="inlineStr">
        <is>
          <t>15/02/2026</t>
        </is>
      </c>
      <c r="D213" s="2" t="inlineStr">
        <is>
          <t>Liga Portugal</t>
        </is>
      </c>
      <c r="E213" s="2" t="inlineStr">
        <is>
          <t>Sp Lisbon</t>
        </is>
      </c>
      <c r="F213" s="2" t="inlineStr">
        <is>
          <t>Famalicao</t>
        </is>
      </c>
      <c r="G213" s="2" t="inlineStr">
        <is>
          <t>1-0</t>
        </is>
      </c>
      <c r="H213" s="3" t="n">
        <v>10</v>
      </c>
      <c r="I213" s="4" t="inlineStr">
        <is>
          <t>WIN</t>
        </is>
      </c>
    </row>
    <row r="214">
      <c r="A214" s="2" t="n">
        <v>213</v>
      </c>
      <c r="B214" s="2" t="inlineStr">
        <is>
          <t>2025-2026</t>
        </is>
      </c>
      <c r="C214" s="2" t="inlineStr">
        <is>
          <t>21/02/2026</t>
        </is>
      </c>
      <c r="D214" s="2" t="inlineStr">
        <is>
          <t>Championship</t>
        </is>
      </c>
      <c r="E214" s="2" t="inlineStr">
        <is>
          <t>Middlesbrough</t>
        </is>
      </c>
      <c r="F214" s="2" t="inlineStr">
        <is>
          <t>Oxford</t>
        </is>
      </c>
      <c r="G214" s="2" t="inlineStr">
        <is>
          <t>0-0</t>
        </is>
      </c>
      <c r="H214" s="3" t="n">
        <v>9</v>
      </c>
      <c r="I214" s="4" t="inlineStr">
        <is>
          <t>WIN</t>
        </is>
      </c>
    </row>
    <row r="215">
      <c r="A215" s="2" t="n">
        <v>214</v>
      </c>
      <c r="B215" s="2" t="inlineStr">
        <is>
          <t>2025-2026</t>
        </is>
      </c>
      <c r="C215" s="2" t="inlineStr">
        <is>
          <t>21/02/2026</t>
        </is>
      </c>
      <c r="D215" s="2" t="inlineStr">
        <is>
          <t>La Liga</t>
        </is>
      </c>
      <c r="E215" s="2" t="inlineStr">
        <is>
          <t>Sociedad</t>
        </is>
      </c>
      <c r="F215" s="2" t="inlineStr">
        <is>
          <t>Oviedo</t>
        </is>
      </c>
      <c r="G215" s="2" t="inlineStr">
        <is>
          <t>3-3</t>
        </is>
      </c>
      <c r="H215" s="3" t="n">
        <v>8.4</v>
      </c>
      <c r="I215" s="4" t="inlineStr">
        <is>
          <t>WIN</t>
        </is>
      </c>
    </row>
    <row r="216">
      <c r="A216" s="2" t="n">
        <v>215</v>
      </c>
      <c r="B216" s="2" t="inlineStr">
        <is>
          <t>2025-2026</t>
        </is>
      </c>
      <c r="C216" s="2" t="inlineStr">
        <is>
          <t>22/02/2026</t>
        </is>
      </c>
      <c r="D216" s="2" t="inlineStr">
        <is>
          <t>Eredivisie</t>
        </is>
      </c>
      <c r="E216" s="2" t="inlineStr">
        <is>
          <t>Feyenoord</t>
        </is>
      </c>
      <c r="F216" s="2" t="inlineStr">
        <is>
          <t>Telstar</t>
        </is>
      </c>
      <c r="G216" s="2" t="inlineStr">
        <is>
          <t>2-1</t>
        </is>
      </c>
      <c r="H216" s="3" t="n">
        <v>13</v>
      </c>
      <c r="I216" s="4" t="inlineStr">
        <is>
          <t>WIN</t>
        </is>
      </c>
    </row>
    <row r="217">
      <c r="A217" s="2" t="n">
        <v>216</v>
      </c>
      <c r="B217" s="2" t="inlineStr">
        <is>
          <t>2025-2026</t>
        </is>
      </c>
      <c r="C217" s="2" t="inlineStr">
        <is>
          <t>23/02/2026</t>
        </is>
      </c>
      <c r="D217" s="2" t="inlineStr">
        <is>
          <t>Super Lig (TUR)</t>
        </is>
      </c>
      <c r="E217" s="2" t="inlineStr">
        <is>
          <t>Fenerbahce</t>
        </is>
      </c>
      <c r="F217" s="2" t="inlineStr">
        <is>
          <t>Kasimpasa</t>
        </is>
      </c>
      <c r="G217" s="2" t="inlineStr">
        <is>
          <t>1-1</t>
        </is>
      </c>
      <c r="H217" s="3" t="n">
        <v>12.5</v>
      </c>
      <c r="I217" s="4" t="inlineStr">
        <is>
          <t>WIN</t>
        </is>
      </c>
    </row>
    <row r="218">
      <c r="A218" s="2" t="n">
        <v>217</v>
      </c>
      <c r="B218" s="2" t="inlineStr">
        <is>
          <t>2025-2026</t>
        </is>
      </c>
      <c r="C218" s="2" t="inlineStr">
        <is>
          <t>27/02/2026</t>
        </is>
      </c>
      <c r="D218" s="2" t="inlineStr">
        <is>
          <t>Super Lig (TUR)</t>
        </is>
      </c>
      <c r="E218" s="2" t="inlineStr">
        <is>
          <t>Trabzonspor</t>
        </is>
      </c>
      <c r="F218" s="2" t="inlineStr">
        <is>
          <t>Karagumruk</t>
        </is>
      </c>
      <c r="G218" s="2" t="inlineStr">
        <is>
          <t>3-1</t>
        </is>
      </c>
      <c r="H218" s="3" t="n">
        <v>8.4</v>
      </c>
      <c r="I218" s="4" t="inlineStr">
        <is>
          <t>WIN</t>
        </is>
      </c>
    </row>
    <row r="219">
      <c r="A219" s="2" t="n">
        <v>218</v>
      </c>
      <c r="B219" s="2" t="inlineStr">
        <is>
          <t>2025-2026</t>
        </is>
      </c>
      <c r="C219" s="2" t="inlineStr">
        <is>
          <t>28/02/2026</t>
        </is>
      </c>
      <c r="D219" s="2" t="inlineStr">
        <is>
          <t>Super Lig (TUR)</t>
        </is>
      </c>
      <c r="E219" s="2" t="inlineStr">
        <is>
          <t>Galatasaray</t>
        </is>
      </c>
      <c r="F219" s="2" t="inlineStr">
        <is>
          <t>Alanyaspor</t>
        </is>
      </c>
      <c r="G219" s="2" t="inlineStr">
        <is>
          <t>3-1</t>
        </is>
      </c>
      <c r="H219" s="3" t="n">
        <v>10</v>
      </c>
      <c r="I219" s="4" t="inlineStr">
        <is>
          <t>WIN</t>
        </is>
      </c>
    </row>
    <row r="220">
      <c r="A220" s="2" t="n">
        <v>219</v>
      </c>
      <c r="B220" s="2" t="inlineStr">
        <is>
          <t>2025-2026</t>
        </is>
      </c>
      <c r="C220" s="2" t="inlineStr">
        <is>
          <t>28/02/2026</t>
        </is>
      </c>
      <c r="D220" s="2" t="inlineStr">
        <is>
          <t>La Liga</t>
        </is>
      </c>
      <c r="E220" s="2" t="inlineStr">
        <is>
          <t>Barcelona</t>
        </is>
      </c>
      <c r="F220" s="2" t="inlineStr">
        <is>
          <t>Villarreal</t>
        </is>
      </c>
      <c r="G220" s="2" t="inlineStr">
        <is>
          <t>4-1</t>
        </is>
      </c>
      <c r="H220" s="3" t="n">
        <v>9.199999999999999</v>
      </c>
      <c r="I220" s="4" t="inlineStr">
        <is>
          <t>WIN</t>
        </is>
      </c>
    </row>
    <row r="221">
      <c r="A221" s="2" t="n">
        <v>220</v>
      </c>
      <c r="B221" s="2" t="inlineStr">
        <is>
          <t>2025-2026</t>
        </is>
      </c>
      <c r="C221" s="2" t="inlineStr">
        <is>
          <t>01/03/2026</t>
        </is>
      </c>
      <c r="D221" s="2" t="inlineStr">
        <is>
          <t>Super League (GRE)</t>
        </is>
      </c>
      <c r="E221" s="2" t="inlineStr">
        <is>
          <t>PAOK</t>
        </is>
      </c>
      <c r="F221" s="2" t="inlineStr">
        <is>
          <t>Asteras Tripolis</t>
        </is>
      </c>
      <c r="G221" s="2" t="inlineStr">
        <is>
          <t>2-0</t>
        </is>
      </c>
      <c r="H221" s="3" t="n">
        <v>14</v>
      </c>
      <c r="I221" s="4" t="inlineStr">
        <is>
          <t>WIN</t>
        </is>
      </c>
    </row>
    <row r="222">
      <c r="A222" s="2" t="n">
        <v>221</v>
      </c>
      <c r="B222" s="2" t="inlineStr">
        <is>
          <t>2025-2026</t>
        </is>
      </c>
      <c r="C222" s="2" t="inlineStr">
        <is>
          <t>02/03/2026</t>
        </is>
      </c>
      <c r="D222" s="2" t="inlineStr">
        <is>
          <t>La Liga</t>
        </is>
      </c>
      <c r="E222" s="2" t="inlineStr">
        <is>
          <t>Real Madrid</t>
        </is>
      </c>
      <c r="F222" s="2" t="inlineStr">
        <is>
          <t>Getafe</t>
        </is>
      </c>
      <c r="G222" s="2" t="inlineStr">
        <is>
          <t>0-1</t>
        </is>
      </c>
      <c r="H222" s="3" t="n">
        <v>12</v>
      </c>
      <c r="I222" s="5" t="inlineStr">
        <is>
          <t>LOSS</t>
        </is>
      </c>
    </row>
    <row r="223">
      <c r="A223" s="2" t="n">
        <v>222</v>
      </c>
      <c r="B223" s="2" t="inlineStr">
        <is>
          <t>2025-2026</t>
        </is>
      </c>
      <c r="C223" s="2" t="inlineStr">
        <is>
          <t>04/03/2026</t>
        </is>
      </c>
      <c r="D223" s="2" t="inlineStr">
        <is>
          <t>Super League (GRE)</t>
        </is>
      </c>
      <c r="E223" s="2" t="inlineStr">
        <is>
          <t>Panathinaikos</t>
        </is>
      </c>
      <c r="F223" s="2" t="inlineStr">
        <is>
          <t>OFI Crete</t>
        </is>
      </c>
      <c r="G223" s="2" t="inlineStr">
        <is>
          <t>4-1</t>
        </is>
      </c>
      <c r="H223" s="3" t="n">
        <v>9.4</v>
      </c>
      <c r="I223" s="4" t="inlineStr">
        <is>
          <t>WIN</t>
        </is>
      </c>
    </row>
    <row r="224">
      <c r="A224" s="2" t="n">
        <v>223</v>
      </c>
      <c r="B224" s="2" t="inlineStr">
        <is>
          <t>2025-2026</t>
        </is>
      </c>
      <c r="C224" s="2" t="inlineStr">
        <is>
          <t>07/03/2026</t>
        </is>
      </c>
      <c r="D224" s="2" t="inlineStr">
        <is>
          <t>Championship</t>
        </is>
      </c>
      <c r="E224" s="2" t="inlineStr">
        <is>
          <t>Derby</t>
        </is>
      </c>
      <c r="F224" s="2" t="inlineStr">
        <is>
          <t>Sheffield Weds</t>
        </is>
      </c>
      <c r="G224" s="2" t="inlineStr">
        <is>
          <t>2-1</t>
        </is>
      </c>
      <c r="H224" s="3" t="n">
        <v>14</v>
      </c>
      <c r="I224" s="4" t="inlineStr">
        <is>
          <t>WIN</t>
        </is>
      </c>
    </row>
    <row r="225">
      <c r="A225" s="2" t="n">
        <v>224</v>
      </c>
      <c r="B225" s="2" t="inlineStr">
        <is>
          <t>2025-2026</t>
        </is>
      </c>
      <c r="C225" s="2" t="inlineStr">
        <is>
          <t>07/03/2026</t>
        </is>
      </c>
      <c r="D225" s="2" t="inlineStr">
        <is>
          <t>Eredivisie</t>
        </is>
      </c>
      <c r="E225" s="2" t="inlineStr">
        <is>
          <t>PSV Eindhoven</t>
        </is>
      </c>
      <c r="F225" s="2" t="inlineStr">
        <is>
          <t>AZ Alkmaar</t>
        </is>
      </c>
      <c r="G225" s="2" t="inlineStr">
        <is>
          <t>2-1</t>
        </is>
      </c>
      <c r="H225" s="3" t="n">
        <v>9</v>
      </c>
      <c r="I225" s="4" t="inlineStr">
        <is>
          <t>WIN</t>
        </is>
      </c>
    </row>
    <row r="226">
      <c r="A226" s="2" t="n">
        <v>225</v>
      </c>
      <c r="B226" s="2" t="inlineStr">
        <is>
          <t>2025-2026</t>
        </is>
      </c>
      <c r="C226" s="2" t="inlineStr">
        <is>
          <t>08/03/2026</t>
        </is>
      </c>
      <c r="D226" s="2" t="inlineStr">
        <is>
          <t>Eredivisie</t>
        </is>
      </c>
      <c r="E226" s="2" t="inlineStr">
        <is>
          <t>Nijmegen</t>
        </is>
      </c>
      <c r="F226" s="2" t="inlineStr">
        <is>
          <t>Volendam</t>
        </is>
      </c>
      <c r="G226" s="2" t="inlineStr">
        <is>
          <t>3-0</t>
        </is>
      </c>
      <c r="H226" s="3" t="n">
        <v>8.4</v>
      </c>
      <c r="I226" s="4" t="inlineStr">
        <is>
          <t>WIN</t>
        </is>
      </c>
    </row>
    <row r="227">
      <c r="A227" s="2" t="n">
        <v>226</v>
      </c>
      <c r="B227" s="2" t="inlineStr">
        <is>
          <t>2025-2026</t>
        </is>
      </c>
      <c r="C227" s="2" t="inlineStr">
        <is>
          <t>11/03/2026</t>
        </is>
      </c>
      <c r="D227" s="2" t="inlineStr">
        <is>
          <t>Championship</t>
        </is>
      </c>
      <c r="E227" s="2" t="inlineStr">
        <is>
          <t>Middlesbrough</t>
        </is>
      </c>
      <c r="F227" s="2" t="inlineStr">
        <is>
          <t>Charlton</t>
        </is>
      </c>
      <c r="G227" s="2" t="inlineStr">
        <is>
          <t>0-1</t>
        </is>
      </c>
      <c r="H227" s="3" t="n">
        <v>9.199999999999999</v>
      </c>
      <c r="I227" s="5" t="inlineStr">
        <is>
          <t>LOSS</t>
        </is>
      </c>
    </row>
    <row r="228">
      <c r="A228" s="2" t="n">
        <v>227</v>
      </c>
      <c r="B228" s="2" t="inlineStr">
        <is>
          <t>2025-2026</t>
        </is>
      </c>
      <c r="C228" s="2" t="inlineStr">
        <is>
          <t>14/03/2026</t>
        </is>
      </c>
      <c r="D228" s="2" t="inlineStr">
        <is>
          <t>La Liga</t>
        </is>
      </c>
      <c r="E228" s="2" t="inlineStr">
        <is>
          <t>Real Madrid</t>
        </is>
      </c>
      <c r="F228" s="2" t="inlineStr">
        <is>
          <t>Elche</t>
        </is>
      </c>
      <c r="G228" s="2" t="inlineStr">
        <is>
          <t>4-1</t>
        </is>
      </c>
      <c r="H228" s="3" t="n">
        <v>9.4</v>
      </c>
      <c r="I228" s="4" t="inlineStr">
        <is>
          <t>WIN</t>
        </is>
      </c>
    </row>
    <row r="229">
      <c r="A229" s="2" t="n">
        <v>228</v>
      </c>
      <c r="B229" s="2" t="inlineStr">
        <is>
          <t>2025-2026</t>
        </is>
      </c>
      <c r="C229" s="2" t="inlineStr">
        <is>
          <t>15/03/2026</t>
        </is>
      </c>
      <c r="D229" s="2" t="inlineStr">
        <is>
          <t>La Liga</t>
        </is>
      </c>
      <c r="E229" s="2" t="inlineStr">
        <is>
          <t>Barcelona</t>
        </is>
      </c>
      <c r="F229" s="2" t="inlineStr">
        <is>
          <t>Sevilla</t>
        </is>
      </c>
      <c r="G229" s="2" t="inlineStr">
        <is>
          <t>5-2</t>
        </is>
      </c>
      <c r="H229" s="3" t="n">
        <v>11</v>
      </c>
      <c r="I229" s="4" t="inlineStr">
        <is>
          <t>WIN</t>
        </is>
      </c>
    </row>
    <row r="230">
      <c r="A230" s="2" t="n">
        <v>229</v>
      </c>
      <c r="B230" s="2" t="inlineStr">
        <is>
          <t>2025-2026</t>
        </is>
      </c>
      <c r="C230" s="2" t="inlineStr">
        <is>
          <t>15/03/2026</t>
        </is>
      </c>
      <c r="D230" s="2" t="inlineStr">
        <is>
          <t>Eredivisie</t>
        </is>
      </c>
      <c r="E230" s="2" t="inlineStr">
        <is>
          <t>Feyenoord</t>
        </is>
      </c>
      <c r="F230" s="2" t="inlineStr">
        <is>
          <t>Excelsior</t>
        </is>
      </c>
      <c r="G230" s="2" t="inlineStr">
        <is>
          <t>2-1</t>
        </is>
      </c>
      <c r="H230" s="3" t="n">
        <v>8</v>
      </c>
      <c r="I230" s="4" t="inlineStr">
        <is>
          <t>WIN</t>
        </is>
      </c>
    </row>
    <row r="231">
      <c r="A231" s="2" t="n">
        <v>230</v>
      </c>
      <c r="B231" s="2" t="inlineStr">
        <is>
          <t>2025-2026</t>
        </is>
      </c>
      <c r="C231" s="2" t="inlineStr">
        <is>
          <t>17/03/2026</t>
        </is>
      </c>
      <c r="D231" s="2" t="inlineStr">
        <is>
          <t>Super Lig (TUR)</t>
        </is>
      </c>
      <c r="E231" s="2" t="inlineStr">
        <is>
          <t>Fenerbahce</t>
        </is>
      </c>
      <c r="F231" s="2" t="inlineStr">
        <is>
          <t>Gaziantep</t>
        </is>
      </c>
      <c r="G231" s="2" t="inlineStr">
        <is>
          <t>4-1</t>
        </is>
      </c>
      <c r="H231" s="3" t="n">
        <v>12.5</v>
      </c>
      <c r="I231" s="4" t="inlineStr">
        <is>
          <t>WIN</t>
        </is>
      </c>
    </row>
    <row r="232">
      <c r="A232" s="2" t="n">
        <v>231</v>
      </c>
      <c r="B232" s="2" t="inlineStr">
        <is>
          <t>2025-2026</t>
        </is>
      </c>
      <c r="C232" s="2" t="inlineStr">
        <is>
          <t>19/03/2026</t>
        </is>
      </c>
      <c r="D232" s="2" t="inlineStr">
        <is>
          <t>Super Lig (TUR)</t>
        </is>
      </c>
      <c r="E232" s="2" t="inlineStr">
        <is>
          <t>Besiktas</t>
        </is>
      </c>
      <c r="F232" s="2" t="inlineStr">
        <is>
          <t>Kasimpasa</t>
        </is>
      </c>
      <c r="G232" s="2" t="inlineStr">
        <is>
          <t>2-1</t>
        </is>
      </c>
      <c r="H232" s="3" t="n">
        <v>10.5</v>
      </c>
      <c r="I232" s="4" t="inlineStr">
        <is>
          <t>WIN</t>
        </is>
      </c>
    </row>
    <row r="233">
      <c r="A233" s="2" t="n">
        <v>232</v>
      </c>
      <c r="B233" s="2" t="inlineStr">
        <is>
          <t>2025-2026</t>
        </is>
      </c>
      <c r="C233" s="2" t="inlineStr">
        <is>
          <t>21/03/2026</t>
        </is>
      </c>
      <c r="D233" s="2" t="inlineStr">
        <is>
          <t>Liga Portugal</t>
        </is>
      </c>
      <c r="E233" s="2" t="inlineStr">
        <is>
          <t>Benfica</t>
        </is>
      </c>
      <c r="F233" s="2" t="inlineStr">
        <is>
          <t>Guimaraes</t>
        </is>
      </c>
      <c r="G233" s="2" t="inlineStr">
        <is>
          <t>3-0</t>
        </is>
      </c>
      <c r="H233" s="3" t="n">
        <v>13</v>
      </c>
      <c r="I233" s="4" t="inlineStr">
        <is>
          <t>WIN</t>
        </is>
      </c>
    </row>
    <row r="234">
      <c r="A234" s="2" t="n">
        <v>233</v>
      </c>
      <c r="B234" s="2" t="inlineStr">
        <is>
          <t>2025-2026</t>
        </is>
      </c>
      <c r="C234" s="2" t="inlineStr">
        <is>
          <t>21/03/2026</t>
        </is>
      </c>
      <c r="D234" s="2" t="inlineStr">
        <is>
          <t>Championship</t>
        </is>
      </c>
      <c r="E234" s="2" t="inlineStr">
        <is>
          <t>Hull</t>
        </is>
      </c>
      <c r="F234" s="2" t="inlineStr">
        <is>
          <t>Sheffield Weds</t>
        </is>
      </c>
      <c r="G234" s="2" t="inlineStr">
        <is>
          <t>3-1</t>
        </is>
      </c>
      <c r="H234" s="3" t="n">
        <v>10.5</v>
      </c>
      <c r="I234" s="4" t="inlineStr">
        <is>
          <t>WIN</t>
        </is>
      </c>
    </row>
    <row r="235">
      <c r="A235" s="2" t="n">
        <v>234</v>
      </c>
      <c r="B235" s="2" t="inlineStr">
        <is>
          <t>2025-2026</t>
        </is>
      </c>
      <c r="C235" s="2" t="inlineStr">
        <is>
          <t>22/03/2026</t>
        </is>
      </c>
      <c r="D235" s="2" t="inlineStr">
        <is>
          <t>La Liga</t>
        </is>
      </c>
      <c r="E235" s="2" t="inlineStr">
        <is>
          <t>Barcelona</t>
        </is>
      </c>
      <c r="F235" s="2" t="inlineStr">
        <is>
          <t>Vallecano</t>
        </is>
      </c>
      <c r="G235" s="2" t="inlineStr">
        <is>
          <t>1-0</t>
        </is>
      </c>
      <c r="H235" s="3" t="n">
        <v>12</v>
      </c>
      <c r="I235" s="4" t="inlineStr">
        <is>
          <t>WIN</t>
        </is>
      </c>
    </row>
    <row r="236">
      <c r="A236" s="2" t="n">
        <v>235</v>
      </c>
      <c r="B236" s="2" t="inlineStr">
        <is>
          <t>2025-2026</t>
        </is>
      </c>
      <c r="C236" s="2" t="inlineStr">
        <is>
          <t>03/04/2026</t>
        </is>
      </c>
      <c r="D236" s="2" t="inlineStr">
        <is>
          <t>Liga Portugal</t>
        </is>
      </c>
      <c r="E236" s="2" t="inlineStr">
        <is>
          <t>Sp Lisbon</t>
        </is>
      </c>
      <c r="F236" s="2" t="inlineStr">
        <is>
          <t>Santa Clara</t>
        </is>
      </c>
      <c r="G236" s="2" t="inlineStr">
        <is>
          <t>4-2</t>
        </is>
      </c>
      <c r="H236" s="3" t="n">
        <v>12.5</v>
      </c>
      <c r="I236" s="4" t="inlineStr">
        <is>
          <t>WIN</t>
        </is>
      </c>
    </row>
    <row r="237">
      <c r="A237" s="2" t="n">
        <v>236</v>
      </c>
      <c r="B237" s="2" t="inlineStr">
        <is>
          <t>2025-2026</t>
        </is>
      </c>
      <c r="C237" s="2" t="inlineStr">
        <is>
          <t>03/04/2026</t>
        </is>
      </c>
      <c r="D237" s="2" t="inlineStr">
        <is>
          <t>Championship</t>
        </is>
      </c>
      <c r="E237" s="2" t="inlineStr">
        <is>
          <t>Stoke</t>
        </is>
      </c>
      <c r="F237" s="2" t="inlineStr">
        <is>
          <t>Sheffield Weds</t>
        </is>
      </c>
      <c r="G237" s="2" t="inlineStr">
        <is>
          <t>2-0</t>
        </is>
      </c>
      <c r="H237" s="3" t="n">
        <v>11.5</v>
      </c>
      <c r="I237" s="4" t="inlineStr">
        <is>
          <t>WIN</t>
        </is>
      </c>
    </row>
    <row r="238">
      <c r="A238" s="2" t="n">
        <v>237</v>
      </c>
      <c r="B238" s="2" t="inlineStr">
        <is>
          <t>2025-2026</t>
        </is>
      </c>
      <c r="C238" s="2" t="inlineStr">
        <is>
          <t>04/04/2026</t>
        </is>
      </c>
      <c r="D238" s="2" t="inlineStr">
        <is>
          <t>Liga Portugal</t>
        </is>
      </c>
      <c r="E238" s="2" t="inlineStr">
        <is>
          <t>Porto</t>
        </is>
      </c>
      <c r="F238" s="2" t="inlineStr">
        <is>
          <t>Famalicao</t>
        </is>
      </c>
      <c r="G238" s="2" t="inlineStr">
        <is>
          <t>2-2</t>
        </is>
      </c>
      <c r="H238" s="3" t="n">
        <v>10.5</v>
      </c>
      <c r="I238" s="4" t="inlineStr">
        <is>
          <t>WIN</t>
        </is>
      </c>
    </row>
    <row r="239">
      <c r="A239" s="2" t="n">
        <v>238</v>
      </c>
      <c r="B239" s="2" t="inlineStr">
        <is>
          <t>2025-2026</t>
        </is>
      </c>
      <c r="C239" s="2" t="inlineStr">
        <is>
          <t>04/04/2026</t>
        </is>
      </c>
      <c r="D239" s="2" t="inlineStr">
        <is>
          <t>Eredivisie</t>
        </is>
      </c>
      <c r="E239" s="2" t="inlineStr">
        <is>
          <t>AZ Alkmaar</t>
        </is>
      </c>
      <c r="F239" s="2" t="inlineStr">
        <is>
          <t>For Sittard</t>
        </is>
      </c>
      <c r="G239" s="2" t="inlineStr">
        <is>
          <t>2-0</t>
        </is>
      </c>
      <c r="H239" s="3" t="n">
        <v>9.199999999999999</v>
      </c>
      <c r="I239" s="4" t="inlineStr">
        <is>
          <t>WIN</t>
        </is>
      </c>
    </row>
    <row r="240">
      <c r="A240" s="2" t="n">
        <v>239</v>
      </c>
      <c r="B240" s="2" t="inlineStr">
        <is>
          <t>2025-2026</t>
        </is>
      </c>
      <c r="C240" s="2" t="inlineStr">
        <is>
          <t>10/04/2026</t>
        </is>
      </c>
      <c r="D240" s="2" t="inlineStr">
        <is>
          <t>Super Lig (TUR)</t>
        </is>
      </c>
      <c r="E240" s="2" t="inlineStr">
        <is>
          <t>Besiktas</t>
        </is>
      </c>
      <c r="F240" s="2" t="inlineStr">
        <is>
          <t>Antalyaspor</t>
        </is>
      </c>
      <c r="G240" s="2" t="inlineStr">
        <is>
          <t>4-2</t>
        </is>
      </c>
      <c r="H240" s="3" t="n">
        <v>10.5</v>
      </c>
      <c r="I240" s="4" t="inlineStr">
        <is>
          <t>WIN</t>
        </is>
      </c>
    </row>
    <row r="241">
      <c r="A241" s="2" t="n">
        <v>240</v>
      </c>
      <c r="B241" s="2" t="inlineStr">
        <is>
          <t>2025-2026</t>
        </is>
      </c>
      <c r="C241" s="2" t="inlineStr">
        <is>
          <t>10/04/2026</t>
        </is>
      </c>
      <c r="D241" s="2" t="inlineStr">
        <is>
          <t>La Liga</t>
        </is>
      </c>
      <c r="E241" s="2" t="inlineStr">
        <is>
          <t>Real Madrid</t>
        </is>
      </c>
      <c r="F241" s="2" t="inlineStr">
        <is>
          <t>Girona</t>
        </is>
      </c>
      <c r="G241" s="2" t="inlineStr">
        <is>
          <t>1-1</t>
        </is>
      </c>
      <c r="H241" s="3" t="n">
        <v>10</v>
      </c>
      <c r="I241" s="4" t="inlineStr">
        <is>
          <t>WIN</t>
        </is>
      </c>
    </row>
    <row r="242">
      <c r="A242" s="2" t="n">
        <v>241</v>
      </c>
      <c r="B242" s="2" t="inlineStr">
        <is>
          <t>2025-2026</t>
        </is>
      </c>
      <c r="C242" s="2" t="inlineStr">
        <is>
          <t>11/04/2026</t>
        </is>
      </c>
      <c r="D242" s="2" t="inlineStr">
        <is>
          <t>La Liga</t>
        </is>
      </c>
      <c r="E242" s="2" t="inlineStr">
        <is>
          <t>Barcelona</t>
        </is>
      </c>
      <c r="F242" s="2" t="inlineStr">
        <is>
          <t>Espanol</t>
        </is>
      </c>
      <c r="G242" s="2" t="inlineStr">
        <is>
          <t>4-1</t>
        </is>
      </c>
      <c r="H242" s="3" t="n">
        <v>10.5</v>
      </c>
      <c r="I242" s="4" t="inlineStr">
        <is>
          <t>WIN</t>
        </is>
      </c>
    </row>
    <row r="243">
      <c r="A243" s="2" t="n">
        <v>242</v>
      </c>
      <c r="B243" s="2" t="inlineStr">
        <is>
          <t>2025-2026</t>
        </is>
      </c>
      <c r="C243" s="2" t="inlineStr">
        <is>
          <t>12/04/2026</t>
        </is>
      </c>
      <c r="D243" s="2" t="inlineStr">
        <is>
          <t>Liga Portugal</t>
        </is>
      </c>
      <c r="E243" s="2" t="inlineStr">
        <is>
          <t>Sp Braga</t>
        </is>
      </c>
      <c r="F243" s="2" t="inlineStr">
        <is>
          <t>Arouca</t>
        </is>
      </c>
      <c r="G243" s="2" t="inlineStr">
        <is>
          <t>1-0</t>
        </is>
      </c>
      <c r="H243" s="3" t="n">
        <v>8.6</v>
      </c>
      <c r="I243" s="4" t="inlineStr">
        <is>
          <t>WIN</t>
        </is>
      </c>
    </row>
    <row r="244">
      <c r="A244" s="2" t="n">
        <v>243</v>
      </c>
      <c r="B244" s="2" t="inlineStr">
        <is>
          <t>2025-2026</t>
        </is>
      </c>
      <c r="C244" s="2" t="inlineStr">
        <is>
          <t>17/04/2026</t>
        </is>
      </c>
      <c r="D244" s="2" t="inlineStr">
        <is>
          <t>Super Lig (TUR)</t>
        </is>
      </c>
      <c r="E244" s="2" t="inlineStr">
        <is>
          <t>Fenerbahce</t>
        </is>
      </c>
      <c r="F244" s="2" t="inlineStr">
        <is>
          <t>Rizespor</t>
        </is>
      </c>
      <c r="G244" s="2" t="inlineStr">
        <is>
          <t>2-2</t>
        </is>
      </c>
      <c r="H244" s="3" t="n">
        <v>9.800000000000001</v>
      </c>
      <c r="I244" s="4" t="inlineStr">
        <is>
          <t>WIN</t>
        </is>
      </c>
    </row>
    <row r="245">
      <c r="A245" s="2" t="n">
        <v>244</v>
      </c>
      <c r="B245" s="2" t="inlineStr">
        <is>
          <t>2025-2026</t>
        </is>
      </c>
      <c r="C245" s="2" t="inlineStr">
        <is>
          <t>10/05/2026</t>
        </is>
      </c>
      <c r="D245" s="2" t="inlineStr">
        <is>
          <t>Eredivisie</t>
        </is>
      </c>
      <c r="E245" s="2" t="inlineStr">
        <is>
          <t>Telstar</t>
        </is>
      </c>
      <c r="F245" s="2" t="inlineStr">
        <is>
          <t>Heracles</t>
        </is>
      </c>
      <c r="G245" s="2" t="inlineStr">
        <is>
          <t>3-0</t>
        </is>
      </c>
      <c r="H245" s="3" t="n">
        <v>8.4</v>
      </c>
      <c r="I245" s="4" t="inlineStr">
        <is>
          <t>WIN</t>
        </is>
      </c>
    </row>
    <row r="246">
      <c r="A246" s="2" t="n">
        <v>245</v>
      </c>
      <c r="B246" s="2" t="inlineStr">
        <is>
          <t>2025-2026</t>
        </is>
      </c>
      <c r="C246" s="2" t="inlineStr">
        <is>
          <t>13/05/2026</t>
        </is>
      </c>
      <c r="D246" s="2" t="inlineStr">
        <is>
          <t>Super League (GRE)</t>
        </is>
      </c>
      <c r="E246" s="2" t="inlineStr">
        <is>
          <t>Olympiakos</t>
        </is>
      </c>
      <c r="F246" s="2" t="inlineStr">
        <is>
          <t>Panathinaikos</t>
        </is>
      </c>
      <c r="G246" s="2" t="inlineStr">
        <is>
          <t>1-0</t>
        </is>
      </c>
      <c r="H246" s="3" t="n">
        <v>9.199999999999999</v>
      </c>
      <c r="I246" s="4" t="inlineStr">
        <is>
          <t>WIN</t>
        </is>
      </c>
    </row>
    <row r="247">
      <c r="A247" s="2" t="n">
        <v>246</v>
      </c>
      <c r="B247" s="2" t="inlineStr">
        <is>
          <t>2025-2026</t>
        </is>
      </c>
      <c r="C247" s="2" t="inlineStr">
        <is>
          <t>14/05/2026</t>
        </is>
      </c>
      <c r="D247" s="2" t="inlineStr">
        <is>
          <t>La Liga</t>
        </is>
      </c>
      <c r="E247" s="2" t="inlineStr">
        <is>
          <t>Real Madrid</t>
        </is>
      </c>
      <c r="F247" s="2" t="inlineStr">
        <is>
          <t>Oviedo</t>
        </is>
      </c>
      <c r="G247" s="2" t="inlineStr">
        <is>
          <t>2-0</t>
        </is>
      </c>
      <c r="H247" s="3" t="n">
        <v>12</v>
      </c>
      <c r="I247" s="4" t="inlineStr">
        <is>
          <t>WIN</t>
        </is>
      </c>
    </row>
    <row r="248">
      <c r="A248" s="2" t="n">
        <v>247</v>
      </c>
      <c r="B248" s="2" t="inlineStr">
        <is>
          <t>2025-2026</t>
        </is>
      </c>
      <c r="C248" s="2" t="inlineStr">
        <is>
          <t>15/05/2026</t>
        </is>
      </c>
      <c r="D248" s="2" t="inlineStr">
        <is>
          <t>Segunda</t>
        </is>
      </c>
      <c r="E248" s="2" t="inlineStr">
        <is>
          <t>Castellon</t>
        </is>
      </c>
      <c r="F248" s="2" t="inlineStr">
        <is>
          <t>Cadiz</t>
        </is>
      </c>
      <c r="G248" s="2" t="inlineStr">
        <is>
          <t>1-1</t>
        </is>
      </c>
      <c r="H248" s="3" t="n">
        <v>11</v>
      </c>
      <c r="I248" s="4" t="inlineStr">
        <is>
          <t>WIN</t>
        </is>
      </c>
    </row>
    <row r="249">
      <c r="A249" s="2" t="n">
        <v>248</v>
      </c>
      <c r="B249" s="2" t="inlineStr">
        <is>
          <t>2025-2026</t>
        </is>
      </c>
      <c r="C249" s="2" t="inlineStr">
        <is>
          <t>16/05/2026</t>
        </is>
      </c>
      <c r="D249" s="2" t="inlineStr">
        <is>
          <t>Liga Portugal</t>
        </is>
      </c>
      <c r="E249" s="2" t="inlineStr">
        <is>
          <t>Sp Lisbon</t>
        </is>
      </c>
      <c r="F249" s="2" t="inlineStr">
        <is>
          <t>Gil Vicente</t>
        </is>
      </c>
      <c r="G249" s="2" t="inlineStr">
        <is>
          <t>3-0</t>
        </is>
      </c>
      <c r="H249" s="3" t="n">
        <v>13.5</v>
      </c>
      <c r="I249" s="4" t="inlineStr">
        <is>
          <t>WIN</t>
        </is>
      </c>
    </row>
    <row r="250">
      <c r="A250" s="2" t="n">
        <v>249</v>
      </c>
      <c r="B250" s="2" t="inlineStr">
        <is>
          <t>2025-2026</t>
        </is>
      </c>
      <c r="C250" s="2" t="inlineStr">
        <is>
          <t>16/05/2026</t>
        </is>
      </c>
      <c r="D250" s="2" t="inlineStr">
        <is>
          <t>Liga Portugal</t>
        </is>
      </c>
      <c r="E250" s="2" t="inlineStr">
        <is>
          <t>Porto</t>
        </is>
      </c>
      <c r="F250" s="2" t="inlineStr">
        <is>
          <t>Santa Clara</t>
        </is>
      </c>
      <c r="G250" s="2" t="inlineStr">
        <is>
          <t>1-0</t>
        </is>
      </c>
      <c r="H250" s="3" t="n">
        <v>10.5</v>
      </c>
      <c r="I250" s="4" t="inlineStr">
        <is>
          <t>WIN</t>
        </is>
      </c>
    </row>
    <row r="251">
      <c r="A251" s="2" t="n">
        <v>250</v>
      </c>
      <c r="B251" s="2" t="inlineStr">
        <is>
          <t>2025-2026</t>
        </is>
      </c>
      <c r="C251" s="2" t="inlineStr">
        <is>
          <t>17/05/2026</t>
        </is>
      </c>
      <c r="D251" s="2" t="inlineStr">
        <is>
          <t>Super Lig (TUR)</t>
        </is>
      </c>
      <c r="E251" s="2" t="inlineStr">
        <is>
          <t>Fenerbahce</t>
        </is>
      </c>
      <c r="F251" s="2" t="inlineStr">
        <is>
          <t>Eyupspor</t>
        </is>
      </c>
      <c r="G251" s="2" t="inlineStr">
        <is>
          <t>3-3</t>
        </is>
      </c>
      <c r="H251" s="3" t="n">
        <v>10.5</v>
      </c>
      <c r="I251" s="4" t="inlineStr">
        <is>
          <t>WIN</t>
        </is>
      </c>
    </row>
    <row r="252">
      <c r="A252" s="2" t="n">
        <v>251</v>
      </c>
      <c r="B252" s="2" t="inlineStr">
        <is>
          <t>2025-2026</t>
        </is>
      </c>
      <c r="C252" s="2" t="inlineStr">
        <is>
          <t>17/05/2026</t>
        </is>
      </c>
      <c r="D252" s="2" t="inlineStr">
        <is>
          <t>La Liga</t>
        </is>
      </c>
      <c r="E252" s="2" t="inlineStr">
        <is>
          <t>Barcelona</t>
        </is>
      </c>
      <c r="F252" s="2" t="inlineStr">
        <is>
          <t>Betis</t>
        </is>
      </c>
      <c r="G252" s="2" t="inlineStr">
        <is>
          <t>3-1</t>
        </is>
      </c>
      <c r="H252" s="3" t="n">
        <v>8.199999999999999</v>
      </c>
      <c r="I252" s="4" t="inlineStr">
        <is>
          <t>WIN</t>
        </is>
      </c>
    </row>
    <row r="253">
      <c r="A253" s="2" t="n">
        <v>252</v>
      </c>
      <c r="B253" s="2" t="inlineStr">
        <is>
          <t>2025-2026</t>
        </is>
      </c>
      <c r="C253" s="2" t="inlineStr">
        <is>
          <t>23/05/2026</t>
        </is>
      </c>
      <c r="D253" s="2" t="inlineStr">
        <is>
          <t>La Liga</t>
        </is>
      </c>
      <c r="E253" s="2" t="inlineStr">
        <is>
          <t>Mallorca</t>
        </is>
      </c>
      <c r="F253" s="2" t="inlineStr">
        <is>
          <t>Oviedo</t>
        </is>
      </c>
      <c r="G253" s="2" t="inlineStr">
        <is>
          <t>3-0</t>
        </is>
      </c>
      <c r="H253" s="3" t="n">
        <v>8.199999999999999</v>
      </c>
      <c r="I253" s="4" t="inlineStr">
        <is>
          <t>WIN</t>
        </is>
      </c>
    </row>
    <row r="254">
      <c r="A254" s="2" t="n">
        <v>253</v>
      </c>
      <c r="B254" s="2" t="inlineStr">
        <is>
          <t>2025-2026</t>
        </is>
      </c>
      <c r="C254" s="2" t="inlineStr">
        <is>
          <t>24/05/2026</t>
        </is>
      </c>
      <c r="D254" s="2" t="inlineStr">
        <is>
          <t>Segunda</t>
        </is>
      </c>
      <c r="E254" s="2" t="inlineStr">
        <is>
          <t>Las Palmas</t>
        </is>
      </c>
      <c r="F254" s="2" t="inlineStr">
        <is>
          <t>Zaragoza</t>
        </is>
      </c>
      <c r="G254" s="2" t="inlineStr">
        <is>
          <t>1-1</t>
        </is>
      </c>
      <c r="H254" s="3" t="n">
        <v>8.4</v>
      </c>
      <c r="I254" s="4" t="inlineStr">
        <is>
          <t>WIN</t>
        </is>
      </c>
    </row>
    <row r="255">
      <c r="A255" s="2" t="n">
        <v>254</v>
      </c>
      <c r="B255" s="2" t="inlineStr">
        <is>
          <t>2025-2026</t>
        </is>
      </c>
      <c r="C255" s="2" t="inlineStr">
        <is>
          <t>31/05/2026</t>
        </is>
      </c>
      <c r="D255" s="2" t="inlineStr">
        <is>
          <t>Segunda</t>
        </is>
      </c>
      <c r="E255" s="2" t="inlineStr">
        <is>
          <t>Santander</t>
        </is>
      </c>
      <c r="F255" s="2" t="inlineStr">
        <is>
          <t>Cadiz</t>
        </is>
      </c>
      <c r="G255" s="2" t="inlineStr">
        <is>
          <t>4-1</t>
        </is>
      </c>
      <c r="H255" s="3" t="n">
        <v>10</v>
      </c>
      <c r="I255" s="4" t="inlineStr">
        <is>
          <t>WIN</t>
        </is>
      </c>
    </row>
    <row r="257">
      <c r="A257" s="6" t="inlineStr">
        <is>
          <t>TOTAL</t>
        </is>
      </c>
      <c r="I257" s="6" t="inlineStr">
        <is>
          <t>244W / 10L</t>
        </is>
      </c>
    </row>
    <row r="258">
      <c r="A258" s="2" t="inlineStr">
        <is>
          <t>Win rate</t>
        </is>
      </c>
      <c r="I258" s="6" t="inlineStr">
        <is>
          <t>96.1%</t>
        </is>
      </c>
    </row>
    <row r="259">
      <c r="A259" s="2" t="inlineStr">
        <is>
          <t>ROI fixe 10EUR</t>
        </is>
      </c>
      <c r="I259" s="6" t="inlineStr">
        <is>
          <t>+57.40%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7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14" customWidth="1" min="8" max="8"/>
    <col width="14" customWidth="1" min="9" max="9"/>
    <col width="16" customWidth="1" min="10" max="10"/>
  </cols>
  <sheetData>
    <row r="1">
      <c r="A1" s="7" t="inlineStr">
        <is>
          <t>PARAMETRES MODIFIABLES</t>
        </is>
      </c>
    </row>
    <row r="2">
      <c r="A2" s="8" t="inlineStr">
        <is>
          <t>Mise de base (EUR)</t>
        </is>
      </c>
      <c r="B2" s="9" t="n">
        <v>70</v>
      </c>
    </row>
    <row r="3">
      <c r="A3" s="8" t="inlineStr">
        <is>
          <t>Multiplicateur Paroli</t>
        </is>
      </c>
      <c r="B3" s="10" t="n">
        <v>1.2</v>
      </c>
    </row>
    <row r="4">
      <c r="A4" s="8" t="inlineStr">
        <is>
          <t>Commission Betfair</t>
        </is>
      </c>
      <c r="B4" s="11" t="n">
        <v>0.05</v>
      </c>
    </row>
    <row r="5">
      <c r="A5" s="8" t="inlineStr">
        <is>
          <t>Bankroll initiale (EUR)</t>
        </is>
      </c>
      <c r="B5" s="12" t="n">
        <v>3000</v>
      </c>
    </row>
    <row r="6">
      <c r="A6" s="8" t="inlineStr">
        <is>
          <t>Cap Paroli (wins max)</t>
        </is>
      </c>
      <c r="B6" s="13" t="n">
        <v>2</v>
      </c>
    </row>
    <row r="7">
      <c r="A7" s="14" t="inlineStr">
        <is>
          <t>Modifie B2, B3, B4, B5 ou B6 -&gt; tout se recalcule automatiquement</t>
        </is>
      </c>
    </row>
    <row r="8">
      <c r="A8" s="1" t="inlineStr">
        <is>
          <t>#</t>
        </is>
      </c>
      <c r="B8" s="1" t="inlineStr">
        <is>
          <t>Score</t>
        </is>
      </c>
      <c r="C8" s="1" t="inlineStr">
        <is>
          <t>Resultat</t>
        </is>
      </c>
      <c r="D8" s="1" t="inlineStr">
        <is>
          <t>Cote Back</t>
        </is>
      </c>
      <c r="E8" s="1" t="inlineStr">
        <is>
          <t>Mise FIXE</t>
        </is>
      </c>
      <c r="F8" s="1" t="inlineStr">
        <is>
          <t>PnL FIXE</t>
        </is>
      </c>
      <c r="G8" s="1" t="inlineStr">
        <is>
          <t>Bankroll FIXE</t>
        </is>
      </c>
      <c r="H8" s="1" t="inlineStr">
        <is>
          <t>Mise PAROLI</t>
        </is>
      </c>
      <c r="I8" s="1" t="inlineStr">
        <is>
          <t>PnL PAROLI</t>
        </is>
      </c>
      <c r="J8" s="1" t="inlineStr">
        <is>
          <t>Bankroll PAROLI</t>
        </is>
      </c>
    </row>
    <row r="9">
      <c r="A9" s="2" t="n">
        <v>1</v>
      </c>
      <c r="B9" s="2" t="inlineStr">
        <is>
          <t>2-1</t>
        </is>
      </c>
      <c r="C9" s="4" t="inlineStr">
        <is>
          <t>WIN</t>
        </is>
      </c>
      <c r="D9" s="3" t="n">
        <v>12</v>
      </c>
      <c r="E9" s="15">
        <f>$B$2</f>
        <v/>
      </c>
      <c r="F9" s="16">
        <f>IF(C9="WIN",E9*(1-$B$4),-E9*(D9-1))</f>
        <v/>
      </c>
      <c r="G9" s="17">
        <f>$B$5+F9</f>
        <v/>
      </c>
      <c r="H9" s="15">
        <f>$B$2</f>
        <v/>
      </c>
      <c r="I9" s="16">
        <f>IF(C9="WIN",H9*(1-$B$4),-H9*(D9-1))</f>
        <v/>
      </c>
      <c r="J9" s="17">
        <f>$B$5+I9</f>
        <v/>
      </c>
    </row>
    <row r="10">
      <c r="A10" s="2" t="n">
        <v>2</v>
      </c>
      <c r="B10" s="2" t="inlineStr">
        <is>
          <t>3-3</t>
        </is>
      </c>
      <c r="C10" s="4" t="inlineStr">
        <is>
          <t>WIN</t>
        </is>
      </c>
      <c r="D10" s="3" t="n">
        <v>8.800000000000001</v>
      </c>
      <c r="E10" s="15">
        <f>$B$2</f>
        <v/>
      </c>
      <c r="F10" s="16">
        <f>IF(C10="WIN",E10*(1-$B$4),-E10*(D10-1))</f>
        <v/>
      </c>
      <c r="G10" s="17">
        <f>G9+F10</f>
        <v/>
      </c>
      <c r="H10" s="15">
        <f>IF(C9="LOSS",$B$2,MIN(H9*$B$3,$B$2*$B$3^$B$6))</f>
        <v/>
      </c>
      <c r="I10" s="16">
        <f>IF(C10="WIN",H10*(1-$B$4),-H10*(D10-1))</f>
        <v/>
      </c>
      <c r="J10" s="17">
        <f>J9+I10</f>
        <v/>
      </c>
    </row>
    <row r="11">
      <c r="A11" s="2" t="n">
        <v>3</v>
      </c>
      <c r="B11" s="2" t="inlineStr">
        <is>
          <t>1-1</t>
        </is>
      </c>
      <c r="C11" s="4" t="inlineStr">
        <is>
          <t>WIN</t>
        </is>
      </c>
      <c r="D11" s="3" t="n">
        <v>8</v>
      </c>
      <c r="E11" s="15">
        <f>$B$2</f>
        <v/>
      </c>
      <c r="F11" s="16">
        <f>IF(C11="WIN",E11*(1-$B$4),-E11*(D11-1))</f>
        <v/>
      </c>
      <c r="G11" s="17">
        <f>G10+F11</f>
        <v/>
      </c>
      <c r="H11" s="15">
        <f>IF(C10="LOSS",$B$2,MIN(H10*$B$3,$B$2*$B$3^$B$6))</f>
        <v/>
      </c>
      <c r="I11" s="16">
        <f>IF(C11="WIN",H11*(1-$B$4),-H11*(D11-1))</f>
        <v/>
      </c>
      <c r="J11" s="17">
        <f>J10+I11</f>
        <v/>
      </c>
    </row>
    <row r="12">
      <c r="A12" s="2" t="n">
        <v>4</v>
      </c>
      <c r="B12" s="2" t="inlineStr">
        <is>
          <t>1-1</t>
        </is>
      </c>
      <c r="C12" s="4" t="inlineStr">
        <is>
          <t>WIN</t>
        </is>
      </c>
      <c r="D12" s="3" t="n">
        <v>8.199999999999999</v>
      </c>
      <c r="E12" s="15">
        <f>$B$2</f>
        <v/>
      </c>
      <c r="F12" s="16">
        <f>IF(C12="WIN",E12*(1-$B$4),-E12*(D12-1))</f>
        <v/>
      </c>
      <c r="G12" s="17">
        <f>G11+F12</f>
        <v/>
      </c>
      <c r="H12" s="15">
        <f>IF(C11="LOSS",$B$2,MIN(H11*$B$3,$B$2*$B$3^$B$6))</f>
        <v/>
      </c>
      <c r="I12" s="16">
        <f>IF(C12="WIN",H12*(1-$B$4),-H12*(D12-1))</f>
        <v/>
      </c>
      <c r="J12" s="17">
        <f>J11+I12</f>
        <v/>
      </c>
    </row>
    <row r="13">
      <c r="A13" s="2" t="n">
        <v>5</v>
      </c>
      <c r="B13" s="2" t="inlineStr">
        <is>
          <t>0-1</t>
        </is>
      </c>
      <c r="C13" s="5" t="inlineStr">
        <is>
          <t>LOSS</t>
        </is>
      </c>
      <c r="D13" s="3" t="n">
        <v>10</v>
      </c>
      <c r="E13" s="15">
        <f>$B$2</f>
        <v/>
      </c>
      <c r="F13" s="18">
        <f>IF(C13="WIN",E13*(1-$B$4),-E13*(D13-1))</f>
        <v/>
      </c>
      <c r="G13" s="17">
        <f>G12+F13</f>
        <v/>
      </c>
      <c r="H13" s="15">
        <f>IF(C12="LOSS",$B$2,MIN(H12*$B$3,$B$2*$B$3^$B$6))</f>
        <v/>
      </c>
      <c r="I13" s="18">
        <f>IF(C13="WIN",H13*(1-$B$4),-H13*(D13-1))</f>
        <v/>
      </c>
      <c r="J13" s="17">
        <f>J12+I13</f>
        <v/>
      </c>
    </row>
    <row r="14">
      <c r="A14" s="2" t="n">
        <v>6</v>
      </c>
      <c r="B14" s="2" t="inlineStr">
        <is>
          <t>1-0</t>
        </is>
      </c>
      <c r="C14" s="4" t="inlineStr">
        <is>
          <t>WIN</t>
        </is>
      </c>
      <c r="D14" s="3" t="n">
        <v>11.5</v>
      </c>
      <c r="E14" s="15">
        <f>$B$2</f>
        <v/>
      </c>
      <c r="F14" s="16">
        <f>IF(C14="WIN",E14*(1-$B$4),-E14*(D14-1))</f>
        <v/>
      </c>
      <c r="G14" s="17">
        <f>G13+F14</f>
        <v/>
      </c>
      <c r="H14" s="15">
        <f>IF(C13="LOSS",$B$2,MIN(H13*$B$3,$B$2*$B$3^$B$6))</f>
        <v/>
      </c>
      <c r="I14" s="16">
        <f>IF(C14="WIN",H14*(1-$B$4),-H14*(D14-1))</f>
        <v/>
      </c>
      <c r="J14" s="17">
        <f>J13+I14</f>
        <v/>
      </c>
    </row>
    <row r="15">
      <c r="A15" s="2" t="n">
        <v>7</v>
      </c>
      <c r="B15" s="2" t="inlineStr">
        <is>
          <t>0-0</t>
        </is>
      </c>
      <c r="C15" s="4" t="inlineStr">
        <is>
          <t>WIN</t>
        </is>
      </c>
      <c r="D15" s="3" t="n">
        <v>13</v>
      </c>
      <c r="E15" s="15">
        <f>$B$2</f>
        <v/>
      </c>
      <c r="F15" s="16">
        <f>IF(C15="WIN",E15*(1-$B$4),-E15*(D15-1))</f>
        <v/>
      </c>
      <c r="G15" s="17">
        <f>G14+F15</f>
        <v/>
      </c>
      <c r="H15" s="15">
        <f>IF(C14="LOSS",$B$2,MIN(H14*$B$3,$B$2*$B$3^$B$6))</f>
        <v/>
      </c>
      <c r="I15" s="16">
        <f>IF(C15="WIN",H15*(1-$B$4),-H15*(D15-1))</f>
        <v/>
      </c>
      <c r="J15" s="17">
        <f>J14+I15</f>
        <v/>
      </c>
    </row>
    <row r="16">
      <c r="A16" s="2" t="n">
        <v>8</v>
      </c>
      <c r="B16" s="2" t="inlineStr">
        <is>
          <t>3-0</t>
        </is>
      </c>
      <c r="C16" s="4" t="inlineStr">
        <is>
          <t>WIN</t>
        </is>
      </c>
      <c r="D16" s="3" t="n">
        <v>11.5</v>
      </c>
      <c r="E16" s="15">
        <f>$B$2</f>
        <v/>
      </c>
      <c r="F16" s="16">
        <f>IF(C16="WIN",E16*(1-$B$4),-E16*(D16-1))</f>
        <v/>
      </c>
      <c r="G16" s="17">
        <f>G15+F16</f>
        <v/>
      </c>
      <c r="H16" s="15">
        <f>IF(C15="LOSS",$B$2,MIN(H15*$B$3,$B$2*$B$3^$B$6))</f>
        <v/>
      </c>
      <c r="I16" s="16">
        <f>IF(C16="WIN",H16*(1-$B$4),-H16*(D16-1))</f>
        <v/>
      </c>
      <c r="J16" s="17">
        <f>J15+I16</f>
        <v/>
      </c>
    </row>
    <row r="17">
      <c r="A17" s="2" t="n">
        <v>9</v>
      </c>
      <c r="B17" s="2" t="inlineStr">
        <is>
          <t>7-0</t>
        </is>
      </c>
      <c r="C17" s="4" t="inlineStr">
        <is>
          <t>WIN</t>
        </is>
      </c>
      <c r="D17" s="3" t="n">
        <v>13</v>
      </c>
      <c r="E17" s="15">
        <f>$B$2</f>
        <v/>
      </c>
      <c r="F17" s="16">
        <f>IF(C17="WIN",E17*(1-$B$4),-E17*(D17-1))</f>
        <v/>
      </c>
      <c r="G17" s="17">
        <f>G16+F17</f>
        <v/>
      </c>
      <c r="H17" s="15">
        <f>IF(C16="LOSS",$B$2,MIN(H16*$B$3,$B$2*$B$3^$B$6))</f>
        <v/>
      </c>
      <c r="I17" s="16">
        <f>IF(C17="WIN",H17*(1-$B$4),-H17*(D17-1))</f>
        <v/>
      </c>
      <c r="J17" s="17">
        <f>J16+I17</f>
        <v/>
      </c>
    </row>
    <row r="18">
      <c r="A18" s="2" t="n">
        <v>10</v>
      </c>
      <c r="B18" s="2" t="inlineStr">
        <is>
          <t>2-0</t>
        </is>
      </c>
      <c r="C18" s="4" t="inlineStr">
        <is>
          <t>WIN</t>
        </is>
      </c>
      <c r="D18" s="3" t="n">
        <v>10.5</v>
      </c>
      <c r="E18" s="15">
        <f>$B$2</f>
        <v/>
      </c>
      <c r="F18" s="16">
        <f>IF(C18="WIN",E18*(1-$B$4),-E18*(D18-1))</f>
        <v/>
      </c>
      <c r="G18" s="17">
        <f>G17+F18</f>
        <v/>
      </c>
      <c r="H18" s="15">
        <f>IF(C17="LOSS",$B$2,MIN(H17*$B$3,$B$2*$B$3^$B$6))</f>
        <v/>
      </c>
      <c r="I18" s="16">
        <f>IF(C18="WIN",H18*(1-$B$4),-H18*(D18-1))</f>
        <v/>
      </c>
      <c r="J18" s="17">
        <f>J17+I18</f>
        <v/>
      </c>
    </row>
    <row r="19">
      <c r="A19" s="2" t="n">
        <v>11</v>
      </c>
      <c r="B19" s="2" t="inlineStr">
        <is>
          <t>2-0</t>
        </is>
      </c>
      <c r="C19" s="4" t="inlineStr">
        <is>
          <t>WIN</t>
        </is>
      </c>
      <c r="D19" s="3" t="n">
        <v>11.5</v>
      </c>
      <c r="E19" s="15">
        <f>$B$2</f>
        <v/>
      </c>
      <c r="F19" s="16">
        <f>IF(C19="WIN",E19*(1-$B$4),-E19*(D19-1))</f>
        <v/>
      </c>
      <c r="G19" s="17">
        <f>G18+F19</f>
        <v/>
      </c>
      <c r="H19" s="15">
        <f>IF(C18="LOSS",$B$2,MIN(H18*$B$3,$B$2*$B$3^$B$6))</f>
        <v/>
      </c>
      <c r="I19" s="16">
        <f>IF(C19="WIN",H19*(1-$B$4),-H19*(D19-1))</f>
        <v/>
      </c>
      <c r="J19" s="17">
        <f>J18+I19</f>
        <v/>
      </c>
    </row>
    <row r="20">
      <c r="A20" s="2" t="n">
        <v>12</v>
      </c>
      <c r="B20" s="2" t="inlineStr">
        <is>
          <t>3-0</t>
        </is>
      </c>
      <c r="C20" s="4" t="inlineStr">
        <is>
          <t>WIN</t>
        </is>
      </c>
      <c r="D20" s="3" t="n">
        <v>8.199999999999999</v>
      </c>
      <c r="E20" s="15">
        <f>$B$2</f>
        <v/>
      </c>
      <c r="F20" s="16">
        <f>IF(C20="WIN",E20*(1-$B$4),-E20*(D20-1))</f>
        <v/>
      </c>
      <c r="G20" s="17">
        <f>G19+F20</f>
        <v/>
      </c>
      <c r="H20" s="15">
        <f>IF(C19="LOSS",$B$2,MIN(H19*$B$3,$B$2*$B$3^$B$6))</f>
        <v/>
      </c>
      <c r="I20" s="16">
        <f>IF(C20="WIN",H20*(1-$B$4),-H20*(D20-1))</f>
        <v/>
      </c>
      <c r="J20" s="17">
        <f>J19+I20</f>
        <v/>
      </c>
    </row>
    <row r="21">
      <c r="A21" s="2" t="n">
        <v>13</v>
      </c>
      <c r="B21" s="2" t="inlineStr">
        <is>
          <t>4-1</t>
        </is>
      </c>
      <c r="C21" s="4" t="inlineStr">
        <is>
          <t>WIN</t>
        </is>
      </c>
      <c r="D21" s="3" t="n">
        <v>14</v>
      </c>
      <c r="E21" s="15">
        <f>$B$2</f>
        <v/>
      </c>
      <c r="F21" s="16">
        <f>IF(C21="WIN",E21*(1-$B$4),-E21*(D21-1))</f>
        <v/>
      </c>
      <c r="G21" s="17">
        <f>G20+F21</f>
        <v/>
      </c>
      <c r="H21" s="15">
        <f>IF(C20="LOSS",$B$2,MIN(H20*$B$3,$B$2*$B$3^$B$6))</f>
        <v/>
      </c>
      <c r="I21" s="16">
        <f>IF(C21="WIN",H21*(1-$B$4),-H21*(D21-1))</f>
        <v/>
      </c>
      <c r="J21" s="17">
        <f>J20+I21</f>
        <v/>
      </c>
    </row>
    <row r="22">
      <c r="A22" s="2" t="n">
        <v>14</v>
      </c>
      <c r="B22" s="2" t="inlineStr">
        <is>
          <t>1-1</t>
        </is>
      </c>
      <c r="C22" s="4" t="inlineStr">
        <is>
          <t>WIN</t>
        </is>
      </c>
      <c r="D22" s="3" t="n">
        <v>10.5</v>
      </c>
      <c r="E22" s="15">
        <f>$B$2</f>
        <v/>
      </c>
      <c r="F22" s="16">
        <f>IF(C22="WIN",E22*(1-$B$4),-E22*(D22-1))</f>
        <v/>
      </c>
      <c r="G22" s="17">
        <f>G21+F22</f>
        <v/>
      </c>
      <c r="H22" s="15">
        <f>IF(C21="LOSS",$B$2,MIN(H21*$B$3,$B$2*$B$3^$B$6))</f>
        <v/>
      </c>
      <c r="I22" s="16">
        <f>IF(C22="WIN",H22*(1-$B$4),-H22*(D22-1))</f>
        <v/>
      </c>
      <c r="J22" s="17">
        <f>J21+I22</f>
        <v/>
      </c>
    </row>
    <row r="23">
      <c r="A23" s="2" t="n">
        <v>15</v>
      </c>
      <c r="B23" s="2" t="inlineStr">
        <is>
          <t>3-0</t>
        </is>
      </c>
      <c r="C23" s="4" t="inlineStr">
        <is>
          <t>WIN</t>
        </is>
      </c>
      <c r="D23" s="3" t="n">
        <v>11.5</v>
      </c>
      <c r="E23" s="15">
        <f>$B$2</f>
        <v/>
      </c>
      <c r="F23" s="16">
        <f>IF(C23="WIN",E23*(1-$B$4),-E23*(D23-1))</f>
        <v/>
      </c>
      <c r="G23" s="17">
        <f>G22+F23</f>
        <v/>
      </c>
      <c r="H23" s="15">
        <f>IF(C22="LOSS",$B$2,MIN(H22*$B$3,$B$2*$B$3^$B$6))</f>
        <v/>
      </c>
      <c r="I23" s="16">
        <f>IF(C23="WIN",H23*(1-$B$4),-H23*(D23-1))</f>
        <v/>
      </c>
      <c r="J23" s="17">
        <f>J22+I23</f>
        <v/>
      </c>
    </row>
    <row r="24">
      <c r="A24" s="2" t="n">
        <v>16</v>
      </c>
      <c r="B24" s="2" t="inlineStr">
        <is>
          <t>2-0</t>
        </is>
      </c>
      <c r="C24" s="4" t="inlineStr">
        <is>
          <t>WIN</t>
        </is>
      </c>
      <c r="D24" s="3" t="n">
        <v>10</v>
      </c>
      <c r="E24" s="15">
        <f>$B$2</f>
        <v/>
      </c>
      <c r="F24" s="16">
        <f>IF(C24="WIN",E24*(1-$B$4),-E24*(D24-1))</f>
        <v/>
      </c>
      <c r="G24" s="17">
        <f>G23+F24</f>
        <v/>
      </c>
      <c r="H24" s="15">
        <f>IF(C23="LOSS",$B$2,MIN(H23*$B$3,$B$2*$B$3^$B$6))</f>
        <v/>
      </c>
      <c r="I24" s="16">
        <f>IF(C24="WIN",H24*(1-$B$4),-H24*(D24-1))</f>
        <v/>
      </c>
      <c r="J24" s="17">
        <f>J23+I24</f>
        <v/>
      </c>
    </row>
    <row r="25">
      <c r="A25" s="2" t="n">
        <v>17</v>
      </c>
      <c r="B25" s="2" t="inlineStr">
        <is>
          <t>2-0</t>
        </is>
      </c>
      <c r="C25" s="4" t="inlineStr">
        <is>
          <t>WIN</t>
        </is>
      </c>
      <c r="D25" s="3" t="n">
        <v>8</v>
      </c>
      <c r="E25" s="15">
        <f>$B$2</f>
        <v/>
      </c>
      <c r="F25" s="16">
        <f>IF(C25="WIN",E25*(1-$B$4),-E25*(D25-1))</f>
        <v/>
      </c>
      <c r="G25" s="17">
        <f>G24+F25</f>
        <v/>
      </c>
      <c r="H25" s="15">
        <f>IF(C24="LOSS",$B$2,MIN(H24*$B$3,$B$2*$B$3^$B$6))</f>
        <v/>
      </c>
      <c r="I25" s="16">
        <f>IF(C25="WIN",H25*(1-$B$4),-H25*(D25-1))</f>
        <v/>
      </c>
      <c r="J25" s="17">
        <f>J24+I25</f>
        <v/>
      </c>
    </row>
    <row r="26">
      <c r="A26" s="2" t="n">
        <v>18</v>
      </c>
      <c r="B26" s="2" t="inlineStr">
        <is>
          <t>5-0</t>
        </is>
      </c>
      <c r="C26" s="4" t="inlineStr">
        <is>
          <t>WIN</t>
        </is>
      </c>
      <c r="D26" s="3" t="n">
        <v>8.199999999999999</v>
      </c>
      <c r="E26" s="15">
        <f>$B$2</f>
        <v/>
      </c>
      <c r="F26" s="16">
        <f>IF(C26="WIN",E26*(1-$B$4),-E26*(D26-1))</f>
        <v/>
      </c>
      <c r="G26" s="17">
        <f>G25+F26</f>
        <v/>
      </c>
      <c r="H26" s="15">
        <f>IF(C25="LOSS",$B$2,MIN(H25*$B$3,$B$2*$B$3^$B$6))</f>
        <v/>
      </c>
      <c r="I26" s="16">
        <f>IF(C26="WIN",H26*(1-$B$4),-H26*(D26-1))</f>
        <v/>
      </c>
      <c r="J26" s="17">
        <f>J25+I26</f>
        <v/>
      </c>
    </row>
    <row r="27">
      <c r="A27" s="2" t="n">
        <v>19</v>
      </c>
      <c r="B27" s="2" t="inlineStr">
        <is>
          <t>1-0</t>
        </is>
      </c>
      <c r="C27" s="4" t="inlineStr">
        <is>
          <t>WIN</t>
        </is>
      </c>
      <c r="D27" s="3" t="n">
        <v>8.6</v>
      </c>
      <c r="E27" s="15">
        <f>$B$2</f>
        <v/>
      </c>
      <c r="F27" s="16">
        <f>IF(C27="WIN",E27*(1-$B$4),-E27*(D27-1))</f>
        <v/>
      </c>
      <c r="G27" s="17">
        <f>G26+F27</f>
        <v/>
      </c>
      <c r="H27" s="15">
        <f>IF(C26="LOSS",$B$2,MIN(H26*$B$3,$B$2*$B$3^$B$6))</f>
        <v/>
      </c>
      <c r="I27" s="16">
        <f>IF(C27="WIN",H27*(1-$B$4),-H27*(D27-1))</f>
        <v/>
      </c>
      <c r="J27" s="17">
        <f>J26+I27</f>
        <v/>
      </c>
    </row>
    <row r="28">
      <c r="A28" s="2" t="n">
        <v>20</v>
      </c>
      <c r="B28" s="2" t="inlineStr">
        <is>
          <t>1-0</t>
        </is>
      </c>
      <c r="C28" s="4" t="inlineStr">
        <is>
          <t>WIN</t>
        </is>
      </c>
      <c r="D28" s="3" t="n">
        <v>14.5</v>
      </c>
      <c r="E28" s="15">
        <f>$B$2</f>
        <v/>
      </c>
      <c r="F28" s="16">
        <f>IF(C28="WIN",E28*(1-$B$4),-E28*(D28-1))</f>
        <v/>
      </c>
      <c r="G28" s="17">
        <f>G27+F28</f>
        <v/>
      </c>
      <c r="H28" s="15">
        <f>IF(C27="LOSS",$B$2,MIN(H27*$B$3,$B$2*$B$3^$B$6))</f>
        <v/>
      </c>
      <c r="I28" s="16">
        <f>IF(C28="WIN",H28*(1-$B$4),-H28*(D28-1))</f>
        <v/>
      </c>
      <c r="J28" s="17">
        <f>J27+I28</f>
        <v/>
      </c>
    </row>
    <row r="29">
      <c r="A29" s="2" t="n">
        <v>21</v>
      </c>
      <c r="B29" s="2" t="inlineStr">
        <is>
          <t>3-3</t>
        </is>
      </c>
      <c r="C29" s="4" t="inlineStr">
        <is>
          <t>WIN</t>
        </is>
      </c>
      <c r="D29" s="3" t="n">
        <v>10.5</v>
      </c>
      <c r="E29" s="15">
        <f>$B$2</f>
        <v/>
      </c>
      <c r="F29" s="16">
        <f>IF(C29="WIN",E29*(1-$B$4),-E29*(D29-1))</f>
        <v/>
      </c>
      <c r="G29" s="17">
        <f>G28+F29</f>
        <v/>
      </c>
      <c r="H29" s="15">
        <f>IF(C28="LOSS",$B$2,MIN(H28*$B$3,$B$2*$B$3^$B$6))</f>
        <v/>
      </c>
      <c r="I29" s="16">
        <f>IF(C29="WIN",H29*(1-$B$4),-H29*(D29-1))</f>
        <v/>
      </c>
      <c r="J29" s="17">
        <f>J28+I29</f>
        <v/>
      </c>
    </row>
    <row r="30">
      <c r="A30" s="2" t="n">
        <v>22</v>
      </c>
      <c r="B30" s="2" t="inlineStr">
        <is>
          <t>1-0</t>
        </is>
      </c>
      <c r="C30" s="4" t="inlineStr">
        <is>
          <t>WIN</t>
        </is>
      </c>
      <c r="D30" s="3" t="n">
        <v>13.5</v>
      </c>
      <c r="E30" s="15">
        <f>$B$2</f>
        <v/>
      </c>
      <c r="F30" s="16">
        <f>IF(C30="WIN",E30*(1-$B$4),-E30*(D30-1))</f>
        <v/>
      </c>
      <c r="G30" s="17">
        <f>G29+F30</f>
        <v/>
      </c>
      <c r="H30" s="15">
        <f>IF(C29="LOSS",$B$2,MIN(H29*$B$3,$B$2*$B$3^$B$6))</f>
        <v/>
      </c>
      <c r="I30" s="16">
        <f>IF(C30="WIN",H30*(1-$B$4),-H30*(D30-1))</f>
        <v/>
      </c>
      <c r="J30" s="17">
        <f>J29+I30</f>
        <v/>
      </c>
    </row>
    <row r="31">
      <c r="A31" s="2" t="n">
        <v>23</v>
      </c>
      <c r="B31" s="2" t="inlineStr">
        <is>
          <t>4-0</t>
        </is>
      </c>
      <c r="C31" s="4" t="inlineStr">
        <is>
          <t>WIN</t>
        </is>
      </c>
      <c r="D31" s="3" t="n">
        <v>9</v>
      </c>
      <c r="E31" s="15">
        <f>$B$2</f>
        <v/>
      </c>
      <c r="F31" s="16">
        <f>IF(C31="WIN",E31*(1-$B$4),-E31*(D31-1))</f>
        <v/>
      </c>
      <c r="G31" s="17">
        <f>G30+F31</f>
        <v/>
      </c>
      <c r="H31" s="15">
        <f>IF(C30="LOSS",$B$2,MIN(H30*$B$3,$B$2*$B$3^$B$6))</f>
        <v/>
      </c>
      <c r="I31" s="16">
        <f>IF(C31="WIN",H31*(1-$B$4),-H31*(D31-1))</f>
        <v/>
      </c>
      <c r="J31" s="17">
        <f>J30+I31</f>
        <v/>
      </c>
    </row>
    <row r="32">
      <c r="A32" s="2" t="n">
        <v>24</v>
      </c>
      <c r="B32" s="2" t="inlineStr">
        <is>
          <t>2-0</t>
        </is>
      </c>
      <c r="C32" s="4" t="inlineStr">
        <is>
          <t>WIN</t>
        </is>
      </c>
      <c r="D32" s="3" t="n">
        <v>10.5</v>
      </c>
      <c r="E32" s="15">
        <f>$B$2</f>
        <v/>
      </c>
      <c r="F32" s="16">
        <f>IF(C32="WIN",E32*(1-$B$4),-E32*(D32-1))</f>
        <v/>
      </c>
      <c r="G32" s="17">
        <f>G31+F32</f>
        <v/>
      </c>
      <c r="H32" s="15">
        <f>IF(C31="LOSS",$B$2,MIN(H31*$B$3,$B$2*$B$3^$B$6))</f>
        <v/>
      </c>
      <c r="I32" s="16">
        <f>IF(C32="WIN",H32*(1-$B$4),-H32*(D32-1))</f>
        <v/>
      </c>
      <c r="J32" s="17">
        <f>J31+I32</f>
        <v/>
      </c>
    </row>
    <row r="33">
      <c r="A33" s="2" t="n">
        <v>25</v>
      </c>
      <c r="B33" s="2" t="inlineStr">
        <is>
          <t>3-2</t>
        </is>
      </c>
      <c r="C33" s="4" t="inlineStr">
        <is>
          <t>WIN</t>
        </is>
      </c>
      <c r="D33" s="3" t="n">
        <v>8.4</v>
      </c>
      <c r="E33" s="15">
        <f>$B$2</f>
        <v/>
      </c>
      <c r="F33" s="16">
        <f>IF(C33="WIN",E33*(1-$B$4),-E33*(D33-1))</f>
        <v/>
      </c>
      <c r="G33" s="17">
        <f>G32+F33</f>
        <v/>
      </c>
      <c r="H33" s="15">
        <f>IF(C32="LOSS",$B$2,MIN(H32*$B$3,$B$2*$B$3^$B$6))</f>
        <v/>
      </c>
      <c r="I33" s="16">
        <f>IF(C33="WIN",H33*(1-$B$4),-H33*(D33-1))</f>
        <v/>
      </c>
      <c r="J33" s="17">
        <f>J32+I33</f>
        <v/>
      </c>
    </row>
    <row r="34">
      <c r="A34" s="2" t="n">
        <v>26</v>
      </c>
      <c r="B34" s="2" t="inlineStr">
        <is>
          <t>1-0</t>
        </is>
      </c>
      <c r="C34" s="4" t="inlineStr">
        <is>
          <t>WIN</t>
        </is>
      </c>
      <c r="D34" s="3" t="n">
        <v>9.4</v>
      </c>
      <c r="E34" s="15">
        <f>$B$2</f>
        <v/>
      </c>
      <c r="F34" s="16">
        <f>IF(C34="WIN",E34*(1-$B$4),-E34*(D34-1))</f>
        <v/>
      </c>
      <c r="G34" s="17">
        <f>G33+F34</f>
        <v/>
      </c>
      <c r="H34" s="15">
        <f>IF(C33="LOSS",$B$2,MIN(H33*$B$3,$B$2*$B$3^$B$6))</f>
        <v/>
      </c>
      <c r="I34" s="16">
        <f>IF(C34="WIN",H34*(1-$B$4),-H34*(D34-1))</f>
        <v/>
      </c>
      <c r="J34" s="17">
        <f>J33+I34</f>
        <v/>
      </c>
    </row>
    <row r="35">
      <c r="A35" s="2" t="n">
        <v>27</v>
      </c>
      <c r="B35" s="2" t="inlineStr">
        <is>
          <t>3-1</t>
        </is>
      </c>
      <c r="C35" s="4" t="inlineStr">
        <is>
          <t>WIN</t>
        </is>
      </c>
      <c r="D35" s="3" t="n">
        <v>9</v>
      </c>
      <c r="E35" s="15">
        <f>$B$2</f>
        <v/>
      </c>
      <c r="F35" s="16">
        <f>IF(C35="WIN",E35*(1-$B$4),-E35*(D35-1))</f>
        <v/>
      </c>
      <c r="G35" s="17">
        <f>G34+F35</f>
        <v/>
      </c>
      <c r="H35" s="15">
        <f>IF(C34="LOSS",$B$2,MIN(H34*$B$3,$B$2*$B$3^$B$6))</f>
        <v/>
      </c>
      <c r="I35" s="16">
        <f>IF(C35="WIN",H35*(1-$B$4),-H35*(D35-1))</f>
        <v/>
      </c>
      <c r="J35" s="17">
        <f>J34+I35</f>
        <v/>
      </c>
    </row>
    <row r="36">
      <c r="A36" s="2" t="n">
        <v>28</v>
      </c>
      <c r="B36" s="2" t="inlineStr">
        <is>
          <t>4-1</t>
        </is>
      </c>
      <c r="C36" s="4" t="inlineStr">
        <is>
          <t>WIN</t>
        </is>
      </c>
      <c r="D36" s="3" t="n">
        <v>8.800000000000001</v>
      </c>
      <c r="E36" s="15">
        <f>$B$2</f>
        <v/>
      </c>
      <c r="F36" s="16">
        <f>IF(C36="WIN",E36*(1-$B$4),-E36*(D36-1))</f>
        <v/>
      </c>
      <c r="G36" s="17">
        <f>G35+F36</f>
        <v/>
      </c>
      <c r="H36" s="15">
        <f>IF(C35="LOSS",$B$2,MIN(H35*$B$3,$B$2*$B$3^$B$6))</f>
        <v/>
      </c>
      <c r="I36" s="16">
        <f>IF(C36="WIN",H36*(1-$B$4),-H36*(D36-1))</f>
        <v/>
      </c>
      <c r="J36" s="17">
        <f>J35+I36</f>
        <v/>
      </c>
    </row>
    <row r="37">
      <c r="A37" s="2" t="n">
        <v>29</v>
      </c>
      <c r="B37" s="2" t="inlineStr">
        <is>
          <t>3-1</t>
        </is>
      </c>
      <c r="C37" s="4" t="inlineStr">
        <is>
          <t>WIN</t>
        </is>
      </c>
      <c r="D37" s="3" t="n">
        <v>11.5</v>
      </c>
      <c r="E37" s="15">
        <f>$B$2</f>
        <v/>
      </c>
      <c r="F37" s="16">
        <f>IF(C37="WIN",E37*(1-$B$4),-E37*(D37-1))</f>
        <v/>
      </c>
      <c r="G37" s="17">
        <f>G36+F37</f>
        <v/>
      </c>
      <c r="H37" s="15">
        <f>IF(C36="LOSS",$B$2,MIN(H36*$B$3,$B$2*$B$3^$B$6))</f>
        <v/>
      </c>
      <c r="I37" s="16">
        <f>IF(C37="WIN",H37*(1-$B$4),-H37*(D37-1))</f>
        <v/>
      </c>
      <c r="J37" s="17">
        <f>J36+I37</f>
        <v/>
      </c>
    </row>
    <row r="38">
      <c r="A38" s="2" t="n">
        <v>30</v>
      </c>
      <c r="B38" s="2" t="inlineStr">
        <is>
          <t>2-2</t>
        </is>
      </c>
      <c r="C38" s="4" t="inlineStr">
        <is>
          <t>WIN</t>
        </is>
      </c>
      <c r="D38" s="3" t="n">
        <v>11</v>
      </c>
      <c r="E38" s="15">
        <f>$B$2</f>
        <v/>
      </c>
      <c r="F38" s="16">
        <f>IF(C38="WIN",E38*(1-$B$4),-E38*(D38-1))</f>
        <v/>
      </c>
      <c r="G38" s="17">
        <f>G37+F38</f>
        <v/>
      </c>
      <c r="H38" s="15">
        <f>IF(C37="LOSS",$B$2,MIN(H37*$B$3,$B$2*$B$3^$B$6))</f>
        <v/>
      </c>
      <c r="I38" s="16">
        <f>IF(C38="WIN",H38*(1-$B$4),-H38*(D38-1))</f>
        <v/>
      </c>
      <c r="J38" s="17">
        <f>J37+I38</f>
        <v/>
      </c>
    </row>
    <row r="39">
      <c r="A39" s="2" t="n">
        <v>31</v>
      </c>
      <c r="B39" s="2" t="inlineStr">
        <is>
          <t>2-1</t>
        </is>
      </c>
      <c r="C39" s="4" t="inlineStr">
        <is>
          <t>WIN</t>
        </is>
      </c>
      <c r="D39" s="3" t="n">
        <v>10.5</v>
      </c>
      <c r="E39" s="15">
        <f>$B$2</f>
        <v/>
      </c>
      <c r="F39" s="16">
        <f>IF(C39="WIN",E39*(1-$B$4),-E39*(D39-1))</f>
        <v/>
      </c>
      <c r="G39" s="17">
        <f>G38+F39</f>
        <v/>
      </c>
      <c r="H39" s="15">
        <f>IF(C38="LOSS",$B$2,MIN(H38*$B$3,$B$2*$B$3^$B$6))</f>
        <v/>
      </c>
      <c r="I39" s="16">
        <f>IF(C39="WIN",H39*(1-$B$4),-H39*(D39-1))</f>
        <v/>
      </c>
      <c r="J39" s="17">
        <f>J38+I39</f>
        <v/>
      </c>
    </row>
    <row r="40">
      <c r="A40" s="2" t="n">
        <v>32</v>
      </c>
      <c r="B40" s="2" t="inlineStr">
        <is>
          <t>5-0</t>
        </is>
      </c>
      <c r="C40" s="4" t="inlineStr">
        <is>
          <t>WIN</t>
        </is>
      </c>
      <c r="D40" s="3" t="n">
        <v>12.5</v>
      </c>
      <c r="E40" s="15">
        <f>$B$2</f>
        <v/>
      </c>
      <c r="F40" s="16">
        <f>IF(C40="WIN",E40*(1-$B$4),-E40*(D40-1))</f>
        <v/>
      </c>
      <c r="G40" s="17">
        <f>G39+F40</f>
        <v/>
      </c>
      <c r="H40" s="15">
        <f>IF(C39="LOSS",$B$2,MIN(H39*$B$3,$B$2*$B$3^$B$6))</f>
        <v/>
      </c>
      <c r="I40" s="16">
        <f>IF(C40="WIN",H40*(1-$B$4),-H40*(D40-1))</f>
        <v/>
      </c>
      <c r="J40" s="17">
        <f>J39+I40</f>
        <v/>
      </c>
    </row>
    <row r="41">
      <c r="A41" s="2" t="n">
        <v>33</v>
      </c>
      <c r="B41" s="2" t="inlineStr">
        <is>
          <t>1-0</t>
        </is>
      </c>
      <c r="C41" s="4" t="inlineStr">
        <is>
          <t>WIN</t>
        </is>
      </c>
      <c r="D41" s="3" t="n">
        <v>10.5</v>
      </c>
      <c r="E41" s="15">
        <f>$B$2</f>
        <v/>
      </c>
      <c r="F41" s="16">
        <f>IF(C41="WIN",E41*(1-$B$4),-E41*(D41-1))</f>
        <v/>
      </c>
      <c r="G41" s="17">
        <f>G40+F41</f>
        <v/>
      </c>
      <c r="H41" s="15">
        <f>IF(C40="LOSS",$B$2,MIN(H40*$B$3,$B$2*$B$3^$B$6))</f>
        <v/>
      </c>
      <c r="I41" s="16">
        <f>IF(C41="WIN",H41*(1-$B$4),-H41*(D41-1))</f>
        <v/>
      </c>
      <c r="J41" s="17">
        <f>J40+I41</f>
        <v/>
      </c>
    </row>
    <row r="42">
      <c r="A42" s="2" t="n">
        <v>34</v>
      </c>
      <c r="B42" s="2" t="inlineStr">
        <is>
          <t>2-0</t>
        </is>
      </c>
      <c r="C42" s="4" t="inlineStr">
        <is>
          <t>WIN</t>
        </is>
      </c>
      <c r="D42" s="3" t="n">
        <v>12.5</v>
      </c>
      <c r="E42" s="15">
        <f>$B$2</f>
        <v/>
      </c>
      <c r="F42" s="16">
        <f>IF(C42="WIN",E42*(1-$B$4),-E42*(D42-1))</f>
        <v/>
      </c>
      <c r="G42" s="17">
        <f>G41+F42</f>
        <v/>
      </c>
      <c r="H42" s="15">
        <f>IF(C41="LOSS",$B$2,MIN(H41*$B$3,$B$2*$B$3^$B$6))</f>
        <v/>
      </c>
      <c r="I42" s="16">
        <f>IF(C42="WIN",H42*(1-$B$4),-H42*(D42-1))</f>
        <v/>
      </c>
      <c r="J42" s="17">
        <f>J41+I42</f>
        <v/>
      </c>
    </row>
    <row r="43">
      <c r="A43" s="2" t="n">
        <v>35</v>
      </c>
      <c r="B43" s="2" t="inlineStr">
        <is>
          <t>1-0</t>
        </is>
      </c>
      <c r="C43" s="4" t="inlineStr">
        <is>
          <t>WIN</t>
        </is>
      </c>
      <c r="D43" s="3" t="n">
        <v>8.6</v>
      </c>
      <c r="E43" s="15">
        <f>$B$2</f>
        <v/>
      </c>
      <c r="F43" s="16">
        <f>IF(C43="WIN",E43*(1-$B$4),-E43*(D43-1))</f>
        <v/>
      </c>
      <c r="G43" s="17">
        <f>G42+F43</f>
        <v/>
      </c>
      <c r="H43" s="15">
        <f>IF(C42="LOSS",$B$2,MIN(H42*$B$3,$B$2*$B$3^$B$6))</f>
        <v/>
      </c>
      <c r="I43" s="16">
        <f>IF(C43="WIN",H43*(1-$B$4),-H43*(D43-1))</f>
        <v/>
      </c>
      <c r="J43" s="17">
        <f>J42+I43</f>
        <v/>
      </c>
    </row>
    <row r="44">
      <c r="A44" s="2" t="n">
        <v>36</v>
      </c>
      <c r="B44" s="2" t="inlineStr">
        <is>
          <t>2-0</t>
        </is>
      </c>
      <c r="C44" s="4" t="inlineStr">
        <is>
          <t>WIN</t>
        </is>
      </c>
      <c r="D44" s="3" t="n">
        <v>14</v>
      </c>
      <c r="E44" s="15">
        <f>$B$2</f>
        <v/>
      </c>
      <c r="F44" s="16">
        <f>IF(C44="WIN",E44*(1-$B$4),-E44*(D44-1))</f>
        <v/>
      </c>
      <c r="G44" s="17">
        <f>G43+F44</f>
        <v/>
      </c>
      <c r="H44" s="15">
        <f>IF(C43="LOSS",$B$2,MIN(H43*$B$3,$B$2*$B$3^$B$6))</f>
        <v/>
      </c>
      <c r="I44" s="16">
        <f>IF(C44="WIN",H44*(1-$B$4),-H44*(D44-1))</f>
        <v/>
      </c>
      <c r="J44" s="17">
        <f>J43+I44</f>
        <v/>
      </c>
    </row>
    <row r="45">
      <c r="A45" s="2" t="n">
        <v>37</v>
      </c>
      <c r="B45" s="2" t="inlineStr">
        <is>
          <t>3-0</t>
        </is>
      </c>
      <c r="C45" s="4" t="inlineStr">
        <is>
          <t>WIN</t>
        </is>
      </c>
      <c r="D45" s="3" t="n">
        <v>13</v>
      </c>
      <c r="E45" s="15">
        <f>$B$2</f>
        <v/>
      </c>
      <c r="F45" s="16">
        <f>IF(C45="WIN",E45*(1-$B$4),-E45*(D45-1))</f>
        <v/>
      </c>
      <c r="G45" s="17">
        <f>G44+F45</f>
        <v/>
      </c>
      <c r="H45" s="15">
        <f>IF(C44="LOSS",$B$2,MIN(H44*$B$3,$B$2*$B$3^$B$6))</f>
        <v/>
      </c>
      <c r="I45" s="16">
        <f>IF(C45="WIN",H45*(1-$B$4),-H45*(D45-1))</f>
        <v/>
      </c>
      <c r="J45" s="17">
        <f>J44+I45</f>
        <v/>
      </c>
    </row>
    <row r="46">
      <c r="A46" s="2" t="n">
        <v>38</v>
      </c>
      <c r="B46" s="2" t="inlineStr">
        <is>
          <t>4-0</t>
        </is>
      </c>
      <c r="C46" s="4" t="inlineStr">
        <is>
          <t>WIN</t>
        </is>
      </c>
      <c r="D46" s="3" t="n">
        <v>13</v>
      </c>
      <c r="E46" s="15">
        <f>$B$2</f>
        <v/>
      </c>
      <c r="F46" s="16">
        <f>IF(C46="WIN",E46*(1-$B$4),-E46*(D46-1))</f>
        <v/>
      </c>
      <c r="G46" s="17">
        <f>G45+F46</f>
        <v/>
      </c>
      <c r="H46" s="15">
        <f>IF(C45="LOSS",$B$2,MIN(H45*$B$3,$B$2*$B$3^$B$6))</f>
        <v/>
      </c>
      <c r="I46" s="16">
        <f>IF(C46="WIN",H46*(1-$B$4),-H46*(D46-1))</f>
        <v/>
      </c>
      <c r="J46" s="17">
        <f>J45+I46</f>
        <v/>
      </c>
    </row>
    <row r="47">
      <c r="A47" s="2" t="n">
        <v>39</v>
      </c>
      <c r="B47" s="2" t="inlineStr">
        <is>
          <t>3-0</t>
        </is>
      </c>
      <c r="C47" s="4" t="inlineStr">
        <is>
          <t>WIN</t>
        </is>
      </c>
      <c r="D47" s="3" t="n">
        <v>12</v>
      </c>
      <c r="E47" s="15">
        <f>$B$2</f>
        <v/>
      </c>
      <c r="F47" s="16">
        <f>IF(C47="WIN",E47*(1-$B$4),-E47*(D47-1))</f>
        <v/>
      </c>
      <c r="G47" s="17">
        <f>G46+F47</f>
        <v/>
      </c>
      <c r="H47" s="15">
        <f>IF(C46="LOSS",$B$2,MIN(H46*$B$3,$B$2*$B$3^$B$6))</f>
        <v/>
      </c>
      <c r="I47" s="16">
        <f>IF(C47="WIN",H47*(1-$B$4),-H47*(D47-1))</f>
        <v/>
      </c>
      <c r="J47" s="17">
        <f>J46+I47</f>
        <v/>
      </c>
    </row>
    <row r="48">
      <c r="A48" s="2" t="n">
        <v>40</v>
      </c>
      <c r="B48" s="2" t="inlineStr">
        <is>
          <t>2-1</t>
        </is>
      </c>
      <c r="C48" s="4" t="inlineStr">
        <is>
          <t>WIN</t>
        </is>
      </c>
      <c r="D48" s="3" t="n">
        <v>11</v>
      </c>
      <c r="E48" s="15">
        <f>$B$2</f>
        <v/>
      </c>
      <c r="F48" s="16">
        <f>IF(C48="WIN",E48*(1-$B$4),-E48*(D48-1))</f>
        <v/>
      </c>
      <c r="G48" s="17">
        <f>G47+F48</f>
        <v/>
      </c>
      <c r="H48" s="15">
        <f>IF(C47="LOSS",$B$2,MIN(H47*$B$3,$B$2*$B$3^$B$6))</f>
        <v/>
      </c>
      <c r="I48" s="16">
        <f>IF(C48="WIN",H48*(1-$B$4),-H48*(D48-1))</f>
        <v/>
      </c>
      <c r="J48" s="17">
        <f>J47+I48</f>
        <v/>
      </c>
    </row>
    <row r="49">
      <c r="A49" s="2" t="n">
        <v>41</v>
      </c>
      <c r="B49" s="2" t="inlineStr">
        <is>
          <t>3-0</t>
        </is>
      </c>
      <c r="C49" s="4" t="inlineStr">
        <is>
          <t>WIN</t>
        </is>
      </c>
      <c r="D49" s="3" t="n">
        <v>9.6</v>
      </c>
      <c r="E49" s="15">
        <f>$B$2</f>
        <v/>
      </c>
      <c r="F49" s="16">
        <f>IF(C49="WIN",E49*(1-$B$4),-E49*(D49-1))</f>
        <v/>
      </c>
      <c r="G49" s="17">
        <f>G48+F49</f>
        <v/>
      </c>
      <c r="H49" s="15">
        <f>IF(C48="LOSS",$B$2,MIN(H48*$B$3,$B$2*$B$3^$B$6))</f>
        <v/>
      </c>
      <c r="I49" s="16">
        <f>IF(C49="WIN",H49*(1-$B$4),-H49*(D49-1))</f>
        <v/>
      </c>
      <c r="J49" s="17">
        <f>J48+I49</f>
        <v/>
      </c>
    </row>
    <row r="50">
      <c r="A50" s="2" t="n">
        <v>42</v>
      </c>
      <c r="B50" s="2" t="inlineStr">
        <is>
          <t>3-0</t>
        </is>
      </c>
      <c r="C50" s="4" t="inlineStr">
        <is>
          <t>WIN</t>
        </is>
      </c>
      <c r="D50" s="3" t="n">
        <v>8.800000000000001</v>
      </c>
      <c r="E50" s="15">
        <f>$B$2</f>
        <v/>
      </c>
      <c r="F50" s="16">
        <f>IF(C50="WIN",E50*(1-$B$4),-E50*(D50-1))</f>
        <v/>
      </c>
      <c r="G50" s="17">
        <f>G49+F50</f>
        <v/>
      </c>
      <c r="H50" s="15">
        <f>IF(C49="LOSS",$B$2,MIN(H49*$B$3,$B$2*$B$3^$B$6))</f>
        <v/>
      </c>
      <c r="I50" s="16">
        <f>IF(C50="WIN",H50*(1-$B$4),-H50*(D50-1))</f>
        <v/>
      </c>
      <c r="J50" s="17">
        <f>J49+I50</f>
        <v/>
      </c>
    </row>
    <row r="51">
      <c r="A51" s="2" t="n">
        <v>43</v>
      </c>
      <c r="B51" s="2" t="inlineStr">
        <is>
          <t>1-1</t>
        </is>
      </c>
      <c r="C51" s="4" t="inlineStr">
        <is>
          <t>WIN</t>
        </is>
      </c>
      <c r="D51" s="3" t="n">
        <v>13</v>
      </c>
      <c r="E51" s="15">
        <f>$B$2</f>
        <v/>
      </c>
      <c r="F51" s="16">
        <f>IF(C51="WIN",E51*(1-$B$4),-E51*(D51-1))</f>
        <v/>
      </c>
      <c r="G51" s="17">
        <f>G50+F51</f>
        <v/>
      </c>
      <c r="H51" s="15">
        <f>IF(C50="LOSS",$B$2,MIN(H50*$B$3,$B$2*$B$3^$B$6))</f>
        <v/>
      </c>
      <c r="I51" s="16">
        <f>IF(C51="WIN",H51*(1-$B$4),-H51*(D51-1))</f>
        <v/>
      </c>
      <c r="J51" s="17">
        <f>J50+I51</f>
        <v/>
      </c>
    </row>
    <row r="52">
      <c r="A52" s="2" t="n">
        <v>44</v>
      </c>
      <c r="B52" s="2" t="inlineStr">
        <is>
          <t>4-0</t>
        </is>
      </c>
      <c r="C52" s="4" t="inlineStr">
        <is>
          <t>WIN</t>
        </is>
      </c>
      <c r="D52" s="3" t="n">
        <v>8</v>
      </c>
      <c r="E52" s="15">
        <f>$B$2</f>
        <v/>
      </c>
      <c r="F52" s="16">
        <f>IF(C52="WIN",E52*(1-$B$4),-E52*(D52-1))</f>
        <v/>
      </c>
      <c r="G52" s="17">
        <f>G51+F52</f>
        <v/>
      </c>
      <c r="H52" s="15">
        <f>IF(C51="LOSS",$B$2,MIN(H51*$B$3,$B$2*$B$3^$B$6))</f>
        <v/>
      </c>
      <c r="I52" s="16">
        <f>IF(C52="WIN",H52*(1-$B$4),-H52*(D52-1))</f>
        <v/>
      </c>
      <c r="J52" s="17">
        <f>J51+I52</f>
        <v/>
      </c>
    </row>
    <row r="53">
      <c r="A53" s="2" t="n">
        <v>45</v>
      </c>
      <c r="B53" s="2" t="inlineStr">
        <is>
          <t>2-0</t>
        </is>
      </c>
      <c r="C53" s="4" t="inlineStr">
        <is>
          <t>WIN</t>
        </is>
      </c>
      <c r="D53" s="3" t="n">
        <v>11</v>
      </c>
      <c r="E53" s="15">
        <f>$B$2</f>
        <v/>
      </c>
      <c r="F53" s="16">
        <f>IF(C53="WIN",E53*(1-$B$4),-E53*(D53-1))</f>
        <v/>
      </c>
      <c r="G53" s="17">
        <f>G52+F53</f>
        <v/>
      </c>
      <c r="H53" s="15">
        <f>IF(C52="LOSS",$B$2,MIN(H52*$B$3,$B$2*$B$3^$B$6))</f>
        <v/>
      </c>
      <c r="I53" s="16">
        <f>IF(C53="WIN",H53*(1-$B$4),-H53*(D53-1))</f>
        <v/>
      </c>
      <c r="J53" s="17">
        <f>J52+I53</f>
        <v/>
      </c>
    </row>
    <row r="54">
      <c r="A54" s="2" t="n">
        <v>46</v>
      </c>
      <c r="B54" s="2" t="inlineStr">
        <is>
          <t>2-2</t>
        </is>
      </c>
      <c r="C54" s="4" t="inlineStr">
        <is>
          <t>WIN</t>
        </is>
      </c>
      <c r="D54" s="3" t="n">
        <v>10</v>
      </c>
      <c r="E54" s="15">
        <f>$B$2</f>
        <v/>
      </c>
      <c r="F54" s="16">
        <f>IF(C54="WIN",E54*(1-$B$4),-E54*(D54-1))</f>
        <v/>
      </c>
      <c r="G54" s="17">
        <f>G53+F54</f>
        <v/>
      </c>
      <c r="H54" s="15">
        <f>IF(C53="LOSS",$B$2,MIN(H53*$B$3,$B$2*$B$3^$B$6))</f>
        <v/>
      </c>
      <c r="I54" s="16">
        <f>IF(C54="WIN",H54*(1-$B$4),-H54*(D54-1))</f>
        <v/>
      </c>
      <c r="J54" s="17">
        <f>J53+I54</f>
        <v/>
      </c>
    </row>
    <row r="55">
      <c r="A55" s="2" t="n">
        <v>47</v>
      </c>
      <c r="B55" s="2" t="inlineStr">
        <is>
          <t>6-1</t>
        </is>
      </c>
      <c r="C55" s="4" t="inlineStr">
        <is>
          <t>WIN</t>
        </is>
      </c>
      <c r="D55" s="3" t="n">
        <v>9.4</v>
      </c>
      <c r="E55" s="15">
        <f>$B$2</f>
        <v/>
      </c>
      <c r="F55" s="16">
        <f>IF(C55="WIN",E55*(1-$B$4),-E55*(D55-1))</f>
        <v/>
      </c>
      <c r="G55" s="17">
        <f>G54+F55</f>
        <v/>
      </c>
      <c r="H55" s="15">
        <f>IF(C54="LOSS",$B$2,MIN(H54*$B$3,$B$2*$B$3^$B$6))</f>
        <v/>
      </c>
      <c r="I55" s="16">
        <f>IF(C55="WIN",H55*(1-$B$4),-H55*(D55-1))</f>
        <v/>
      </c>
      <c r="J55" s="17">
        <f>J54+I55</f>
        <v/>
      </c>
    </row>
    <row r="56">
      <c r="A56" s="2" t="n">
        <v>48</v>
      </c>
      <c r="B56" s="2" t="inlineStr">
        <is>
          <t>3-1</t>
        </is>
      </c>
      <c r="C56" s="4" t="inlineStr">
        <is>
          <t>WIN</t>
        </is>
      </c>
      <c r="D56" s="3" t="n">
        <v>11.5</v>
      </c>
      <c r="E56" s="15">
        <f>$B$2</f>
        <v/>
      </c>
      <c r="F56" s="16">
        <f>IF(C56="WIN",E56*(1-$B$4),-E56*(D56-1))</f>
        <v/>
      </c>
      <c r="G56" s="17">
        <f>G55+F56</f>
        <v/>
      </c>
      <c r="H56" s="15">
        <f>IF(C55="LOSS",$B$2,MIN(H55*$B$3,$B$2*$B$3^$B$6))</f>
        <v/>
      </c>
      <c r="I56" s="16">
        <f>IF(C56="WIN",H56*(1-$B$4),-H56*(D56-1))</f>
        <v/>
      </c>
      <c r="J56" s="17">
        <f>J55+I56</f>
        <v/>
      </c>
    </row>
    <row r="57">
      <c r="A57" s="2" t="n">
        <v>49</v>
      </c>
      <c r="B57" s="2" t="inlineStr">
        <is>
          <t>1-0</t>
        </is>
      </c>
      <c r="C57" s="4" t="inlineStr">
        <is>
          <t>WIN</t>
        </is>
      </c>
      <c r="D57" s="3" t="n">
        <v>10.5</v>
      </c>
      <c r="E57" s="15">
        <f>$B$2</f>
        <v/>
      </c>
      <c r="F57" s="16">
        <f>IF(C57="WIN",E57*(1-$B$4),-E57*(D57-1))</f>
        <v/>
      </c>
      <c r="G57" s="17">
        <f>G56+F57</f>
        <v/>
      </c>
      <c r="H57" s="15">
        <f>IF(C56="LOSS",$B$2,MIN(H56*$B$3,$B$2*$B$3^$B$6))</f>
        <v/>
      </c>
      <c r="I57" s="16">
        <f>IF(C57="WIN",H57*(1-$B$4),-H57*(D57-1))</f>
        <v/>
      </c>
      <c r="J57" s="17">
        <f>J56+I57</f>
        <v/>
      </c>
    </row>
    <row r="58">
      <c r="A58" s="2" t="n">
        <v>50</v>
      </c>
      <c r="B58" s="2" t="inlineStr">
        <is>
          <t>4-3</t>
        </is>
      </c>
      <c r="C58" s="4" t="inlineStr">
        <is>
          <t>WIN</t>
        </is>
      </c>
      <c r="D58" s="3" t="n">
        <v>9</v>
      </c>
      <c r="E58" s="15">
        <f>$B$2</f>
        <v/>
      </c>
      <c r="F58" s="16">
        <f>IF(C58="WIN",E58*(1-$B$4),-E58*(D58-1))</f>
        <v/>
      </c>
      <c r="G58" s="17">
        <f>G57+F58</f>
        <v/>
      </c>
      <c r="H58" s="15">
        <f>IF(C57="LOSS",$B$2,MIN(H57*$B$3,$B$2*$B$3^$B$6))</f>
        <v/>
      </c>
      <c r="I58" s="16">
        <f>IF(C58="WIN",H58*(1-$B$4),-H58*(D58-1))</f>
        <v/>
      </c>
      <c r="J58" s="17">
        <f>J57+I58</f>
        <v/>
      </c>
    </row>
    <row r="59">
      <c r="A59" s="2" t="n">
        <v>51</v>
      </c>
      <c r="B59" s="2" t="inlineStr">
        <is>
          <t>1-0</t>
        </is>
      </c>
      <c r="C59" s="4" t="inlineStr">
        <is>
          <t>WIN</t>
        </is>
      </c>
      <c r="D59" s="3" t="n">
        <v>11</v>
      </c>
      <c r="E59" s="15">
        <f>$B$2</f>
        <v/>
      </c>
      <c r="F59" s="16">
        <f>IF(C59="WIN",E59*(1-$B$4),-E59*(D59-1))</f>
        <v/>
      </c>
      <c r="G59" s="17">
        <f>G58+F59</f>
        <v/>
      </c>
      <c r="H59" s="15">
        <f>IF(C58="LOSS",$B$2,MIN(H58*$B$3,$B$2*$B$3^$B$6))</f>
        <v/>
      </c>
      <c r="I59" s="16">
        <f>IF(C59="WIN",H59*(1-$B$4),-H59*(D59-1))</f>
        <v/>
      </c>
      <c r="J59" s="17">
        <f>J58+I59</f>
        <v/>
      </c>
    </row>
    <row r="60">
      <c r="A60" s="2" t="n">
        <v>52</v>
      </c>
      <c r="B60" s="2" t="inlineStr">
        <is>
          <t>0-0</t>
        </is>
      </c>
      <c r="C60" s="4" t="inlineStr">
        <is>
          <t>WIN</t>
        </is>
      </c>
      <c r="D60" s="3" t="n">
        <v>10</v>
      </c>
      <c r="E60" s="15">
        <f>$B$2</f>
        <v/>
      </c>
      <c r="F60" s="16">
        <f>IF(C60="WIN",E60*(1-$B$4),-E60*(D60-1))</f>
        <v/>
      </c>
      <c r="G60" s="17">
        <f>G59+F60</f>
        <v/>
      </c>
      <c r="H60" s="15">
        <f>IF(C59="LOSS",$B$2,MIN(H59*$B$3,$B$2*$B$3^$B$6))</f>
        <v/>
      </c>
      <c r="I60" s="16">
        <f>IF(C60="WIN",H60*(1-$B$4),-H60*(D60-1))</f>
        <v/>
      </c>
      <c r="J60" s="17">
        <f>J59+I60</f>
        <v/>
      </c>
    </row>
    <row r="61">
      <c r="A61" s="2" t="n">
        <v>53</v>
      </c>
      <c r="B61" s="2" t="inlineStr">
        <is>
          <t>4-1</t>
        </is>
      </c>
      <c r="C61" s="4" t="inlineStr">
        <is>
          <t>WIN</t>
        </is>
      </c>
      <c r="D61" s="3" t="n">
        <v>11</v>
      </c>
      <c r="E61" s="15">
        <f>$B$2</f>
        <v/>
      </c>
      <c r="F61" s="16">
        <f>IF(C61="WIN",E61*(1-$B$4),-E61*(D61-1))</f>
        <v/>
      </c>
      <c r="G61" s="17">
        <f>G60+F61</f>
        <v/>
      </c>
      <c r="H61" s="15">
        <f>IF(C60="LOSS",$B$2,MIN(H60*$B$3,$B$2*$B$3^$B$6))</f>
        <v/>
      </c>
      <c r="I61" s="16">
        <f>IF(C61="WIN",H61*(1-$B$4),-H61*(D61-1))</f>
        <v/>
      </c>
      <c r="J61" s="17">
        <f>J60+I61</f>
        <v/>
      </c>
    </row>
    <row r="62">
      <c r="A62" s="2" t="n">
        <v>54</v>
      </c>
      <c r="B62" s="2" t="inlineStr">
        <is>
          <t>3-0</t>
        </is>
      </c>
      <c r="C62" s="4" t="inlineStr">
        <is>
          <t>WIN</t>
        </is>
      </c>
      <c r="D62" s="3" t="n">
        <v>9.199999999999999</v>
      </c>
      <c r="E62" s="15">
        <f>$B$2</f>
        <v/>
      </c>
      <c r="F62" s="16">
        <f>IF(C62="WIN",E62*(1-$B$4),-E62*(D62-1))</f>
        <v/>
      </c>
      <c r="G62" s="17">
        <f>G61+F62</f>
        <v/>
      </c>
      <c r="H62" s="15">
        <f>IF(C61="LOSS",$B$2,MIN(H61*$B$3,$B$2*$B$3^$B$6))</f>
        <v/>
      </c>
      <c r="I62" s="16">
        <f>IF(C62="WIN",H62*(1-$B$4),-H62*(D62-1))</f>
        <v/>
      </c>
      <c r="J62" s="17">
        <f>J61+I62</f>
        <v/>
      </c>
    </row>
    <row r="63">
      <c r="A63" s="2" t="n">
        <v>55</v>
      </c>
      <c r="B63" s="2" t="inlineStr">
        <is>
          <t>4-2</t>
        </is>
      </c>
      <c r="C63" s="4" t="inlineStr">
        <is>
          <t>WIN</t>
        </is>
      </c>
      <c r="D63" s="3" t="n">
        <v>9.4</v>
      </c>
      <c r="E63" s="15">
        <f>$B$2</f>
        <v/>
      </c>
      <c r="F63" s="16">
        <f>IF(C63="WIN",E63*(1-$B$4),-E63*(D63-1))</f>
        <v/>
      </c>
      <c r="G63" s="17">
        <f>G62+F63</f>
        <v/>
      </c>
      <c r="H63" s="15">
        <f>IF(C62="LOSS",$B$2,MIN(H62*$B$3,$B$2*$B$3^$B$6))</f>
        <v/>
      </c>
      <c r="I63" s="16">
        <f>IF(C63="WIN",H63*(1-$B$4),-H63*(D63-1))</f>
        <v/>
      </c>
      <c r="J63" s="17">
        <f>J62+I63</f>
        <v/>
      </c>
    </row>
    <row r="64">
      <c r="A64" s="2" t="n">
        <v>56</v>
      </c>
      <c r="B64" s="2" t="inlineStr">
        <is>
          <t>4-0</t>
        </is>
      </c>
      <c r="C64" s="4" t="inlineStr">
        <is>
          <t>WIN</t>
        </is>
      </c>
      <c r="D64" s="3" t="n">
        <v>9.800000000000001</v>
      </c>
      <c r="E64" s="15">
        <f>$B$2</f>
        <v/>
      </c>
      <c r="F64" s="16">
        <f>IF(C64="WIN",E64*(1-$B$4),-E64*(D64-1))</f>
        <v/>
      </c>
      <c r="G64" s="17">
        <f>G63+F64</f>
        <v/>
      </c>
      <c r="H64" s="15">
        <f>IF(C63="LOSS",$B$2,MIN(H63*$B$3,$B$2*$B$3^$B$6))</f>
        <v/>
      </c>
      <c r="I64" s="16">
        <f>IF(C64="WIN",H64*(1-$B$4),-H64*(D64-1))</f>
        <v/>
      </c>
      <c r="J64" s="17">
        <f>J63+I64</f>
        <v/>
      </c>
    </row>
    <row r="65">
      <c r="A65" s="2" t="n">
        <v>57</v>
      </c>
      <c r="B65" s="2" t="inlineStr">
        <is>
          <t>1-2</t>
        </is>
      </c>
      <c r="C65" s="5" t="inlineStr">
        <is>
          <t>LOSS</t>
        </is>
      </c>
      <c r="D65" s="3" t="n">
        <v>8.4</v>
      </c>
      <c r="E65" s="15">
        <f>$B$2</f>
        <v/>
      </c>
      <c r="F65" s="18">
        <f>IF(C65="WIN",E65*(1-$B$4),-E65*(D65-1))</f>
        <v/>
      </c>
      <c r="G65" s="17">
        <f>G64+F65</f>
        <v/>
      </c>
      <c r="H65" s="15">
        <f>IF(C64="LOSS",$B$2,MIN(H64*$B$3,$B$2*$B$3^$B$6))</f>
        <v/>
      </c>
      <c r="I65" s="18">
        <f>IF(C65="WIN",H65*(1-$B$4),-H65*(D65-1))</f>
        <v/>
      </c>
      <c r="J65" s="17">
        <f>J64+I65</f>
        <v/>
      </c>
    </row>
    <row r="66">
      <c r="A66" s="2" t="n">
        <v>58</v>
      </c>
      <c r="B66" s="2" t="inlineStr">
        <is>
          <t>1-1</t>
        </is>
      </c>
      <c r="C66" s="4" t="inlineStr">
        <is>
          <t>WIN</t>
        </is>
      </c>
      <c r="D66" s="3" t="n">
        <v>10</v>
      </c>
      <c r="E66" s="15">
        <f>$B$2</f>
        <v/>
      </c>
      <c r="F66" s="16">
        <f>IF(C66="WIN",E66*(1-$B$4),-E66*(D66-1))</f>
        <v/>
      </c>
      <c r="G66" s="17">
        <f>G65+F66</f>
        <v/>
      </c>
      <c r="H66" s="15">
        <f>IF(C65="LOSS",$B$2,MIN(H65*$B$3,$B$2*$B$3^$B$6))</f>
        <v/>
      </c>
      <c r="I66" s="16">
        <f>IF(C66="WIN",H66*(1-$B$4),-H66*(D66-1))</f>
        <v/>
      </c>
      <c r="J66" s="17">
        <f>J65+I66</f>
        <v/>
      </c>
    </row>
    <row r="67">
      <c r="A67" s="2" t="n">
        <v>59</v>
      </c>
      <c r="B67" s="2" t="inlineStr">
        <is>
          <t>2-1</t>
        </is>
      </c>
      <c r="C67" s="4" t="inlineStr">
        <is>
          <t>WIN</t>
        </is>
      </c>
      <c r="D67" s="3" t="n">
        <v>8.6</v>
      </c>
      <c r="E67" s="15">
        <f>$B$2</f>
        <v/>
      </c>
      <c r="F67" s="16">
        <f>IF(C67="WIN",E67*(1-$B$4),-E67*(D67-1))</f>
        <v/>
      </c>
      <c r="G67" s="17">
        <f>G66+F67</f>
        <v/>
      </c>
      <c r="H67" s="15">
        <f>IF(C66="LOSS",$B$2,MIN(H66*$B$3,$B$2*$B$3^$B$6))</f>
        <v/>
      </c>
      <c r="I67" s="16">
        <f>IF(C67="WIN",H67*(1-$B$4),-H67*(D67-1))</f>
        <v/>
      </c>
      <c r="J67" s="17">
        <f>J66+I67</f>
        <v/>
      </c>
    </row>
    <row r="68">
      <c r="A68" s="2" t="n">
        <v>60</v>
      </c>
      <c r="B68" s="2" t="inlineStr">
        <is>
          <t>2-1</t>
        </is>
      </c>
      <c r="C68" s="4" t="inlineStr">
        <is>
          <t>WIN</t>
        </is>
      </c>
      <c r="D68" s="3" t="n">
        <v>10</v>
      </c>
      <c r="E68" s="15">
        <f>$B$2</f>
        <v/>
      </c>
      <c r="F68" s="16">
        <f>IF(C68="WIN",E68*(1-$B$4),-E68*(D68-1))</f>
        <v/>
      </c>
      <c r="G68" s="17">
        <f>G67+F68</f>
        <v/>
      </c>
      <c r="H68" s="15">
        <f>IF(C67="LOSS",$B$2,MIN(H67*$B$3,$B$2*$B$3^$B$6))</f>
        <v/>
      </c>
      <c r="I68" s="16">
        <f>IF(C68="WIN",H68*(1-$B$4),-H68*(D68-1))</f>
        <v/>
      </c>
      <c r="J68" s="17">
        <f>J67+I68</f>
        <v/>
      </c>
    </row>
    <row r="69">
      <c r="A69" s="2" t="n">
        <v>61</v>
      </c>
      <c r="B69" s="2" t="inlineStr">
        <is>
          <t>1-0</t>
        </is>
      </c>
      <c r="C69" s="4" t="inlineStr">
        <is>
          <t>WIN</t>
        </is>
      </c>
      <c r="D69" s="3" t="n">
        <v>12</v>
      </c>
      <c r="E69" s="15">
        <f>$B$2</f>
        <v/>
      </c>
      <c r="F69" s="16">
        <f>IF(C69="WIN",E69*(1-$B$4),-E69*(D69-1))</f>
        <v/>
      </c>
      <c r="G69" s="17">
        <f>G68+F69</f>
        <v/>
      </c>
      <c r="H69" s="15">
        <f>IF(C68="LOSS",$B$2,MIN(H68*$B$3,$B$2*$B$3^$B$6))</f>
        <v/>
      </c>
      <c r="I69" s="16">
        <f>IF(C69="WIN",H69*(1-$B$4),-H69*(D69-1))</f>
        <v/>
      </c>
      <c r="J69" s="17">
        <f>J68+I69</f>
        <v/>
      </c>
    </row>
    <row r="70">
      <c r="A70" s="2" t="n">
        <v>62</v>
      </c>
      <c r="B70" s="2" t="inlineStr">
        <is>
          <t>4-0</t>
        </is>
      </c>
      <c r="C70" s="4" t="inlineStr">
        <is>
          <t>WIN</t>
        </is>
      </c>
      <c r="D70" s="3" t="n">
        <v>14.5</v>
      </c>
      <c r="E70" s="15">
        <f>$B$2</f>
        <v/>
      </c>
      <c r="F70" s="16">
        <f>IF(C70="WIN",E70*(1-$B$4),-E70*(D70-1))</f>
        <v/>
      </c>
      <c r="G70" s="17">
        <f>G69+F70</f>
        <v/>
      </c>
      <c r="H70" s="15">
        <f>IF(C69="LOSS",$B$2,MIN(H69*$B$3,$B$2*$B$3^$B$6))</f>
        <v/>
      </c>
      <c r="I70" s="16">
        <f>IF(C70="WIN",H70*(1-$B$4),-H70*(D70-1))</f>
        <v/>
      </c>
      <c r="J70" s="17">
        <f>J69+I70</f>
        <v/>
      </c>
    </row>
    <row r="71">
      <c r="A71" s="2" t="n">
        <v>63</v>
      </c>
      <c r="B71" s="2" t="inlineStr">
        <is>
          <t>3-0</t>
        </is>
      </c>
      <c r="C71" s="4" t="inlineStr">
        <is>
          <t>WIN</t>
        </is>
      </c>
      <c r="D71" s="3" t="n">
        <v>8.4</v>
      </c>
      <c r="E71" s="15">
        <f>$B$2</f>
        <v/>
      </c>
      <c r="F71" s="16">
        <f>IF(C71="WIN",E71*(1-$B$4),-E71*(D71-1))</f>
        <v/>
      </c>
      <c r="G71" s="17">
        <f>G70+F71</f>
        <v/>
      </c>
      <c r="H71" s="15">
        <f>IF(C70="LOSS",$B$2,MIN(H70*$B$3,$B$2*$B$3^$B$6))</f>
        <v/>
      </c>
      <c r="I71" s="16">
        <f>IF(C71="WIN",H71*(1-$B$4),-H71*(D71-1))</f>
        <v/>
      </c>
      <c r="J71" s="17">
        <f>J70+I71</f>
        <v/>
      </c>
    </row>
    <row r="72">
      <c r="A72" s="2" t="n">
        <v>64</v>
      </c>
      <c r="B72" s="2" t="inlineStr">
        <is>
          <t>2-0</t>
        </is>
      </c>
      <c r="C72" s="4" t="inlineStr">
        <is>
          <t>WIN</t>
        </is>
      </c>
      <c r="D72" s="3" t="n">
        <v>9</v>
      </c>
      <c r="E72" s="15">
        <f>$B$2</f>
        <v/>
      </c>
      <c r="F72" s="16">
        <f>IF(C72="WIN",E72*(1-$B$4),-E72*(D72-1))</f>
        <v/>
      </c>
      <c r="G72" s="17">
        <f>G71+F72</f>
        <v/>
      </c>
      <c r="H72" s="15">
        <f>IF(C71="LOSS",$B$2,MIN(H71*$B$3,$B$2*$B$3^$B$6))</f>
        <v/>
      </c>
      <c r="I72" s="16">
        <f>IF(C72="WIN",H72*(1-$B$4),-H72*(D72-1))</f>
        <v/>
      </c>
      <c r="J72" s="17">
        <f>J71+I72</f>
        <v/>
      </c>
    </row>
    <row r="73">
      <c r="A73" s="2" t="n">
        <v>65</v>
      </c>
      <c r="B73" s="2" t="inlineStr">
        <is>
          <t>2-2</t>
        </is>
      </c>
      <c r="C73" s="4" t="inlineStr">
        <is>
          <t>WIN</t>
        </is>
      </c>
      <c r="D73" s="3" t="n">
        <v>13</v>
      </c>
      <c r="E73" s="15">
        <f>$B$2</f>
        <v/>
      </c>
      <c r="F73" s="16">
        <f>IF(C73="WIN",E73*(1-$B$4),-E73*(D73-1))</f>
        <v/>
      </c>
      <c r="G73" s="17">
        <f>G72+F73</f>
        <v/>
      </c>
      <c r="H73" s="15">
        <f>IF(C72="LOSS",$B$2,MIN(H72*$B$3,$B$2*$B$3^$B$6))</f>
        <v/>
      </c>
      <c r="I73" s="16">
        <f>IF(C73="WIN",H73*(1-$B$4),-H73*(D73-1))</f>
        <v/>
      </c>
      <c r="J73" s="17">
        <f>J72+I73</f>
        <v/>
      </c>
    </row>
    <row r="74">
      <c r="A74" s="2" t="n">
        <v>66</v>
      </c>
      <c r="B74" s="2" t="inlineStr">
        <is>
          <t>1-0</t>
        </is>
      </c>
      <c r="C74" s="4" t="inlineStr">
        <is>
          <t>WIN</t>
        </is>
      </c>
      <c r="D74" s="3" t="n">
        <v>13</v>
      </c>
      <c r="E74" s="15">
        <f>$B$2</f>
        <v/>
      </c>
      <c r="F74" s="16">
        <f>IF(C74="WIN",E74*(1-$B$4),-E74*(D74-1))</f>
        <v/>
      </c>
      <c r="G74" s="17">
        <f>G73+F74</f>
        <v/>
      </c>
      <c r="H74" s="15">
        <f>IF(C73="LOSS",$B$2,MIN(H73*$B$3,$B$2*$B$3^$B$6))</f>
        <v/>
      </c>
      <c r="I74" s="16">
        <f>IF(C74="WIN",H74*(1-$B$4),-H74*(D74-1))</f>
        <v/>
      </c>
      <c r="J74" s="17">
        <f>J73+I74</f>
        <v/>
      </c>
    </row>
    <row r="75">
      <c r="A75" s="2" t="n">
        <v>67</v>
      </c>
      <c r="B75" s="2" t="inlineStr">
        <is>
          <t>0-0</t>
        </is>
      </c>
      <c r="C75" s="4" t="inlineStr">
        <is>
          <t>WIN</t>
        </is>
      </c>
      <c r="D75" s="3" t="n">
        <v>10.5</v>
      </c>
      <c r="E75" s="15">
        <f>$B$2</f>
        <v/>
      </c>
      <c r="F75" s="16">
        <f>IF(C75="WIN",E75*(1-$B$4),-E75*(D75-1))</f>
        <v/>
      </c>
      <c r="G75" s="17">
        <f>G74+F75</f>
        <v/>
      </c>
      <c r="H75" s="15">
        <f>IF(C74="LOSS",$B$2,MIN(H74*$B$3,$B$2*$B$3^$B$6))</f>
        <v/>
      </c>
      <c r="I75" s="16">
        <f>IF(C75="WIN",H75*(1-$B$4),-H75*(D75-1))</f>
        <v/>
      </c>
      <c r="J75" s="17">
        <f>J74+I75</f>
        <v/>
      </c>
    </row>
    <row r="76">
      <c r="A76" s="2" t="n">
        <v>68</v>
      </c>
      <c r="B76" s="2" t="inlineStr">
        <is>
          <t>3-2</t>
        </is>
      </c>
      <c r="C76" s="4" t="inlineStr">
        <is>
          <t>WIN</t>
        </is>
      </c>
      <c r="D76" s="3" t="n">
        <v>9.800000000000001</v>
      </c>
      <c r="E76" s="15">
        <f>$B$2</f>
        <v/>
      </c>
      <c r="F76" s="16">
        <f>IF(C76="WIN",E76*(1-$B$4),-E76*(D76-1))</f>
        <v/>
      </c>
      <c r="G76" s="17">
        <f>G75+F76</f>
        <v/>
      </c>
      <c r="H76" s="15">
        <f>IF(C75="LOSS",$B$2,MIN(H75*$B$3,$B$2*$B$3^$B$6))</f>
        <v/>
      </c>
      <c r="I76" s="16">
        <f>IF(C76="WIN",H76*(1-$B$4),-H76*(D76-1))</f>
        <v/>
      </c>
      <c r="J76" s="17">
        <f>J75+I76</f>
        <v/>
      </c>
    </row>
    <row r="77">
      <c r="A77" s="2" t="n">
        <v>69</v>
      </c>
      <c r="B77" s="2" t="inlineStr">
        <is>
          <t>5-1</t>
        </is>
      </c>
      <c r="C77" s="4" t="inlineStr">
        <is>
          <t>WIN</t>
        </is>
      </c>
      <c r="D77" s="3" t="n">
        <v>14</v>
      </c>
      <c r="E77" s="15">
        <f>$B$2</f>
        <v/>
      </c>
      <c r="F77" s="16">
        <f>IF(C77="WIN",E77*(1-$B$4),-E77*(D77-1))</f>
        <v/>
      </c>
      <c r="G77" s="17">
        <f>G76+F77</f>
        <v/>
      </c>
      <c r="H77" s="15">
        <f>IF(C76="LOSS",$B$2,MIN(H76*$B$3,$B$2*$B$3^$B$6))</f>
        <v/>
      </c>
      <c r="I77" s="16">
        <f>IF(C77="WIN",H77*(1-$B$4),-H77*(D77-1))</f>
        <v/>
      </c>
      <c r="J77" s="17">
        <f>J76+I77</f>
        <v/>
      </c>
    </row>
    <row r="78">
      <c r="A78" s="2" t="n">
        <v>70</v>
      </c>
      <c r="B78" s="2" t="inlineStr">
        <is>
          <t>7-0</t>
        </is>
      </c>
      <c r="C78" s="4" t="inlineStr">
        <is>
          <t>WIN</t>
        </is>
      </c>
      <c r="D78" s="3" t="n">
        <v>13</v>
      </c>
      <c r="E78" s="15">
        <f>$B$2</f>
        <v/>
      </c>
      <c r="F78" s="16">
        <f>IF(C78="WIN",E78*(1-$B$4),-E78*(D78-1))</f>
        <v/>
      </c>
      <c r="G78" s="17">
        <f>G77+F78</f>
        <v/>
      </c>
      <c r="H78" s="15">
        <f>IF(C77="LOSS",$B$2,MIN(H77*$B$3,$B$2*$B$3^$B$6))</f>
        <v/>
      </c>
      <c r="I78" s="16">
        <f>IF(C78="WIN",H78*(1-$B$4),-H78*(D78-1))</f>
        <v/>
      </c>
      <c r="J78" s="17">
        <f>J77+I78</f>
        <v/>
      </c>
    </row>
    <row r="79">
      <c r="A79" s="2" t="n">
        <v>71</v>
      </c>
      <c r="B79" s="2" t="inlineStr">
        <is>
          <t>3-2</t>
        </is>
      </c>
      <c r="C79" s="4" t="inlineStr">
        <is>
          <t>WIN</t>
        </is>
      </c>
      <c r="D79" s="3" t="n">
        <v>9</v>
      </c>
      <c r="E79" s="15">
        <f>$B$2</f>
        <v/>
      </c>
      <c r="F79" s="16">
        <f>IF(C79="WIN",E79*(1-$B$4),-E79*(D79-1))</f>
        <v/>
      </c>
      <c r="G79" s="17">
        <f>G78+F79</f>
        <v/>
      </c>
      <c r="H79" s="15">
        <f>IF(C78="LOSS",$B$2,MIN(H78*$B$3,$B$2*$B$3^$B$6))</f>
        <v/>
      </c>
      <c r="I79" s="16">
        <f>IF(C79="WIN",H79*(1-$B$4),-H79*(D79-1))</f>
        <v/>
      </c>
      <c r="J79" s="17">
        <f>J78+I79</f>
        <v/>
      </c>
    </row>
    <row r="80">
      <c r="A80" s="2" t="n">
        <v>72</v>
      </c>
      <c r="B80" s="2" t="inlineStr">
        <is>
          <t>1-0</t>
        </is>
      </c>
      <c r="C80" s="4" t="inlineStr">
        <is>
          <t>WIN</t>
        </is>
      </c>
      <c r="D80" s="3" t="n">
        <v>8.800000000000001</v>
      </c>
      <c r="E80" s="15">
        <f>$B$2</f>
        <v/>
      </c>
      <c r="F80" s="16">
        <f>IF(C80="WIN",E80*(1-$B$4),-E80*(D80-1))</f>
        <v/>
      </c>
      <c r="G80" s="17">
        <f>G79+F80</f>
        <v/>
      </c>
      <c r="H80" s="15">
        <f>IF(C79="LOSS",$B$2,MIN(H79*$B$3,$B$2*$B$3^$B$6))</f>
        <v/>
      </c>
      <c r="I80" s="16">
        <f>IF(C80="WIN",H80*(1-$B$4),-H80*(D80-1))</f>
        <v/>
      </c>
      <c r="J80" s="17">
        <f>J79+I80</f>
        <v/>
      </c>
    </row>
    <row r="81">
      <c r="A81" s="2" t="n">
        <v>73</v>
      </c>
      <c r="B81" s="2" t="inlineStr">
        <is>
          <t>1-0</t>
        </is>
      </c>
      <c r="C81" s="4" t="inlineStr">
        <is>
          <t>WIN</t>
        </is>
      </c>
      <c r="D81" s="3" t="n">
        <v>8.199999999999999</v>
      </c>
      <c r="E81" s="15">
        <f>$B$2</f>
        <v/>
      </c>
      <c r="F81" s="16">
        <f>IF(C81="WIN",E81*(1-$B$4),-E81*(D81-1))</f>
        <v/>
      </c>
      <c r="G81" s="17">
        <f>G80+F81</f>
        <v/>
      </c>
      <c r="H81" s="15">
        <f>IF(C80="LOSS",$B$2,MIN(H80*$B$3,$B$2*$B$3^$B$6))</f>
        <v/>
      </c>
      <c r="I81" s="16">
        <f>IF(C81="WIN",H81*(1-$B$4),-H81*(D81-1))</f>
        <v/>
      </c>
      <c r="J81" s="17">
        <f>J80+I81</f>
        <v/>
      </c>
    </row>
    <row r="82">
      <c r="A82" s="2" t="n">
        <v>74</v>
      </c>
      <c r="B82" s="2" t="inlineStr">
        <is>
          <t>3-0</t>
        </is>
      </c>
      <c r="C82" s="4" t="inlineStr">
        <is>
          <t>WIN</t>
        </is>
      </c>
      <c r="D82" s="3" t="n">
        <v>10</v>
      </c>
      <c r="E82" s="15">
        <f>$B$2</f>
        <v/>
      </c>
      <c r="F82" s="16">
        <f>IF(C82="WIN",E82*(1-$B$4),-E82*(D82-1))</f>
        <v/>
      </c>
      <c r="G82" s="17">
        <f>G81+F82</f>
        <v/>
      </c>
      <c r="H82" s="15">
        <f>IF(C81="LOSS",$B$2,MIN(H81*$B$3,$B$2*$B$3^$B$6))</f>
        <v/>
      </c>
      <c r="I82" s="16">
        <f>IF(C82="WIN",H82*(1-$B$4),-H82*(D82-1))</f>
        <v/>
      </c>
      <c r="J82" s="17">
        <f>J81+I82</f>
        <v/>
      </c>
    </row>
    <row r="83">
      <c r="A83" s="2" t="n">
        <v>75</v>
      </c>
      <c r="B83" s="2" t="inlineStr">
        <is>
          <t>0-1</t>
        </is>
      </c>
      <c r="C83" s="5" t="inlineStr">
        <is>
          <t>LOSS</t>
        </is>
      </c>
      <c r="D83" s="3" t="n">
        <v>9</v>
      </c>
      <c r="E83" s="15">
        <f>$B$2</f>
        <v/>
      </c>
      <c r="F83" s="18">
        <f>IF(C83="WIN",E83*(1-$B$4),-E83*(D83-1))</f>
        <v/>
      </c>
      <c r="G83" s="17">
        <f>G82+F83</f>
        <v/>
      </c>
      <c r="H83" s="15">
        <f>IF(C82="LOSS",$B$2,MIN(H82*$B$3,$B$2*$B$3^$B$6))</f>
        <v/>
      </c>
      <c r="I83" s="18">
        <f>IF(C83="WIN",H83*(1-$B$4),-H83*(D83-1))</f>
        <v/>
      </c>
      <c r="J83" s="17">
        <f>J82+I83</f>
        <v/>
      </c>
    </row>
    <row r="84">
      <c r="A84" s="2" t="n">
        <v>76</v>
      </c>
      <c r="B84" s="2" t="inlineStr">
        <is>
          <t>2-2</t>
        </is>
      </c>
      <c r="C84" s="4" t="inlineStr">
        <is>
          <t>WIN</t>
        </is>
      </c>
      <c r="D84" s="3" t="n">
        <v>12.5</v>
      </c>
      <c r="E84" s="15">
        <f>$B$2</f>
        <v/>
      </c>
      <c r="F84" s="16">
        <f>IF(C84="WIN",E84*(1-$B$4),-E84*(D84-1))</f>
        <v/>
      </c>
      <c r="G84" s="17">
        <f>G83+F84</f>
        <v/>
      </c>
      <c r="H84" s="15">
        <f>IF(C83="LOSS",$B$2,MIN(H83*$B$3,$B$2*$B$3^$B$6))</f>
        <v/>
      </c>
      <c r="I84" s="16">
        <f>IF(C84="WIN",H84*(1-$B$4),-H84*(D84-1))</f>
        <v/>
      </c>
      <c r="J84" s="17">
        <f>J83+I84</f>
        <v/>
      </c>
    </row>
    <row r="85">
      <c r="A85" s="2" t="n">
        <v>77</v>
      </c>
      <c r="B85" s="2" t="inlineStr">
        <is>
          <t>1-1</t>
        </is>
      </c>
      <c r="C85" s="4" t="inlineStr">
        <is>
          <t>WIN</t>
        </is>
      </c>
      <c r="D85" s="3" t="n">
        <v>9</v>
      </c>
      <c r="E85" s="15">
        <f>$B$2</f>
        <v/>
      </c>
      <c r="F85" s="16">
        <f>IF(C85="WIN",E85*(1-$B$4),-E85*(D85-1))</f>
        <v/>
      </c>
      <c r="G85" s="17">
        <f>G84+F85</f>
        <v/>
      </c>
      <c r="H85" s="15">
        <f>IF(C84="LOSS",$B$2,MIN(H84*$B$3,$B$2*$B$3^$B$6))</f>
        <v/>
      </c>
      <c r="I85" s="16">
        <f>IF(C85="WIN",H85*(1-$B$4),-H85*(D85-1))</f>
        <v/>
      </c>
      <c r="J85" s="17">
        <f>J84+I85</f>
        <v/>
      </c>
    </row>
    <row r="86">
      <c r="A86" s="2" t="n">
        <v>78</v>
      </c>
      <c r="B86" s="2" t="inlineStr">
        <is>
          <t>4-0</t>
        </is>
      </c>
      <c r="C86" s="4" t="inlineStr">
        <is>
          <t>WIN</t>
        </is>
      </c>
      <c r="D86" s="3" t="n">
        <v>13.5</v>
      </c>
      <c r="E86" s="15">
        <f>$B$2</f>
        <v/>
      </c>
      <c r="F86" s="16">
        <f>IF(C86="WIN",E86*(1-$B$4),-E86*(D86-1))</f>
        <v/>
      </c>
      <c r="G86" s="17">
        <f>G85+F86</f>
        <v/>
      </c>
      <c r="H86" s="15">
        <f>IF(C85="LOSS",$B$2,MIN(H85*$B$3,$B$2*$B$3^$B$6))</f>
        <v/>
      </c>
      <c r="I86" s="16">
        <f>IF(C86="WIN",H86*(1-$B$4),-H86*(D86-1))</f>
        <v/>
      </c>
      <c r="J86" s="17">
        <f>J85+I86</f>
        <v/>
      </c>
    </row>
    <row r="87">
      <c r="A87" s="2" t="n">
        <v>79</v>
      </c>
      <c r="B87" s="2" t="inlineStr">
        <is>
          <t>3-1</t>
        </is>
      </c>
      <c r="C87" s="4" t="inlineStr">
        <is>
          <t>WIN</t>
        </is>
      </c>
      <c r="D87" s="3" t="n">
        <v>11.5</v>
      </c>
      <c r="E87" s="15">
        <f>$B$2</f>
        <v/>
      </c>
      <c r="F87" s="16">
        <f>IF(C87="WIN",E87*(1-$B$4),-E87*(D87-1))</f>
        <v/>
      </c>
      <c r="G87" s="17">
        <f>G86+F87</f>
        <v/>
      </c>
      <c r="H87" s="15">
        <f>IF(C86="LOSS",$B$2,MIN(H86*$B$3,$B$2*$B$3^$B$6))</f>
        <v/>
      </c>
      <c r="I87" s="16">
        <f>IF(C87="WIN",H87*(1-$B$4),-H87*(D87-1))</f>
        <v/>
      </c>
      <c r="J87" s="17">
        <f>J86+I87</f>
        <v/>
      </c>
    </row>
    <row r="88">
      <c r="A88" s="2" t="n">
        <v>80</v>
      </c>
      <c r="B88" s="2" t="inlineStr">
        <is>
          <t>1-0</t>
        </is>
      </c>
      <c r="C88" s="4" t="inlineStr">
        <is>
          <t>WIN</t>
        </is>
      </c>
      <c r="D88" s="3" t="n">
        <v>13</v>
      </c>
      <c r="E88" s="15">
        <f>$B$2</f>
        <v/>
      </c>
      <c r="F88" s="16">
        <f>IF(C88="WIN",E88*(1-$B$4),-E88*(D88-1))</f>
        <v/>
      </c>
      <c r="G88" s="17">
        <f>G87+F88</f>
        <v/>
      </c>
      <c r="H88" s="15">
        <f>IF(C87="LOSS",$B$2,MIN(H87*$B$3,$B$2*$B$3^$B$6))</f>
        <v/>
      </c>
      <c r="I88" s="16">
        <f>IF(C88="WIN",H88*(1-$B$4),-H88*(D88-1))</f>
        <v/>
      </c>
      <c r="J88" s="17">
        <f>J87+I88</f>
        <v/>
      </c>
    </row>
    <row r="89">
      <c r="A89" s="2" t="n">
        <v>81</v>
      </c>
      <c r="B89" s="2" t="inlineStr">
        <is>
          <t>2-1</t>
        </is>
      </c>
      <c r="C89" s="4" t="inlineStr">
        <is>
          <t>WIN</t>
        </is>
      </c>
      <c r="D89" s="3" t="n">
        <v>14.5</v>
      </c>
      <c r="E89" s="15">
        <f>$B$2</f>
        <v/>
      </c>
      <c r="F89" s="16">
        <f>IF(C89="WIN",E89*(1-$B$4),-E89*(D89-1))</f>
        <v/>
      </c>
      <c r="G89" s="17">
        <f>G88+F89</f>
        <v/>
      </c>
      <c r="H89" s="15">
        <f>IF(C88="LOSS",$B$2,MIN(H88*$B$3,$B$2*$B$3^$B$6))</f>
        <v/>
      </c>
      <c r="I89" s="16">
        <f>IF(C89="WIN",H89*(1-$B$4),-H89*(D89-1))</f>
        <v/>
      </c>
      <c r="J89" s="17">
        <f>J88+I89</f>
        <v/>
      </c>
    </row>
    <row r="90">
      <c r="A90" s="2" t="n">
        <v>82</v>
      </c>
      <c r="B90" s="2" t="inlineStr">
        <is>
          <t>2-1</t>
        </is>
      </c>
      <c r="C90" s="4" t="inlineStr">
        <is>
          <t>WIN</t>
        </is>
      </c>
      <c r="D90" s="3" t="n">
        <v>13</v>
      </c>
      <c r="E90" s="15">
        <f>$B$2</f>
        <v/>
      </c>
      <c r="F90" s="16">
        <f>IF(C90="WIN",E90*(1-$B$4),-E90*(D90-1))</f>
        <v/>
      </c>
      <c r="G90" s="17">
        <f>G89+F90</f>
        <v/>
      </c>
      <c r="H90" s="15">
        <f>IF(C89="LOSS",$B$2,MIN(H89*$B$3,$B$2*$B$3^$B$6))</f>
        <v/>
      </c>
      <c r="I90" s="16">
        <f>IF(C90="WIN",H90*(1-$B$4),-H90*(D90-1))</f>
        <v/>
      </c>
      <c r="J90" s="17">
        <f>J89+I90</f>
        <v/>
      </c>
    </row>
    <row r="91">
      <c r="A91" s="2" t="n">
        <v>83</v>
      </c>
      <c r="B91" s="2" t="inlineStr">
        <is>
          <t>2-0</t>
        </is>
      </c>
      <c r="C91" s="4" t="inlineStr">
        <is>
          <t>WIN</t>
        </is>
      </c>
      <c r="D91" s="3" t="n">
        <v>10.5</v>
      </c>
      <c r="E91" s="15">
        <f>$B$2</f>
        <v/>
      </c>
      <c r="F91" s="16">
        <f>IF(C91="WIN",E91*(1-$B$4),-E91*(D91-1))</f>
        <v/>
      </c>
      <c r="G91" s="17">
        <f>G90+F91</f>
        <v/>
      </c>
      <c r="H91" s="15">
        <f>IF(C90="LOSS",$B$2,MIN(H90*$B$3,$B$2*$B$3^$B$6))</f>
        <v/>
      </c>
      <c r="I91" s="16">
        <f>IF(C91="WIN",H91*(1-$B$4),-H91*(D91-1))</f>
        <v/>
      </c>
      <c r="J91" s="17">
        <f>J90+I91</f>
        <v/>
      </c>
    </row>
    <row r="92">
      <c r="A92" s="2" t="n">
        <v>84</v>
      </c>
      <c r="B92" s="2" t="inlineStr">
        <is>
          <t>1-1</t>
        </is>
      </c>
      <c r="C92" s="4" t="inlineStr">
        <is>
          <t>WIN</t>
        </is>
      </c>
      <c r="D92" s="3" t="n">
        <v>9.800000000000001</v>
      </c>
      <c r="E92" s="15">
        <f>$B$2</f>
        <v/>
      </c>
      <c r="F92" s="16">
        <f>IF(C92="WIN",E92*(1-$B$4),-E92*(D92-1))</f>
        <v/>
      </c>
      <c r="G92" s="17">
        <f>G91+F92</f>
        <v/>
      </c>
      <c r="H92" s="15">
        <f>IF(C91="LOSS",$B$2,MIN(H91*$B$3,$B$2*$B$3^$B$6))</f>
        <v/>
      </c>
      <c r="I92" s="16">
        <f>IF(C92="WIN",H92*(1-$B$4),-H92*(D92-1))</f>
        <v/>
      </c>
      <c r="J92" s="17">
        <f>J91+I92</f>
        <v/>
      </c>
    </row>
    <row r="93">
      <c r="A93" s="2" t="n">
        <v>85</v>
      </c>
      <c r="B93" s="2" t="inlineStr">
        <is>
          <t>3-1</t>
        </is>
      </c>
      <c r="C93" s="4" t="inlineStr">
        <is>
          <t>WIN</t>
        </is>
      </c>
      <c r="D93" s="3" t="n">
        <v>8</v>
      </c>
      <c r="E93" s="15">
        <f>$B$2</f>
        <v/>
      </c>
      <c r="F93" s="16">
        <f>IF(C93="WIN",E93*(1-$B$4),-E93*(D93-1))</f>
        <v/>
      </c>
      <c r="G93" s="17">
        <f>G92+F93</f>
        <v/>
      </c>
      <c r="H93" s="15">
        <f>IF(C92="LOSS",$B$2,MIN(H92*$B$3,$B$2*$B$3^$B$6))</f>
        <v/>
      </c>
      <c r="I93" s="16">
        <f>IF(C93="WIN",H93*(1-$B$4),-H93*(D93-1))</f>
        <v/>
      </c>
      <c r="J93" s="17">
        <f>J92+I93</f>
        <v/>
      </c>
    </row>
    <row r="94">
      <c r="A94" s="2" t="n">
        <v>86</v>
      </c>
      <c r="B94" s="2" t="inlineStr">
        <is>
          <t>4-0</t>
        </is>
      </c>
      <c r="C94" s="4" t="inlineStr">
        <is>
          <t>WIN</t>
        </is>
      </c>
      <c r="D94" s="3" t="n">
        <v>14</v>
      </c>
      <c r="E94" s="15">
        <f>$B$2</f>
        <v/>
      </c>
      <c r="F94" s="16">
        <f>IF(C94="WIN",E94*(1-$B$4),-E94*(D94-1))</f>
        <v/>
      </c>
      <c r="G94" s="17">
        <f>G93+F94</f>
        <v/>
      </c>
      <c r="H94" s="15">
        <f>IF(C93="LOSS",$B$2,MIN(H93*$B$3,$B$2*$B$3^$B$6))</f>
        <v/>
      </c>
      <c r="I94" s="16">
        <f>IF(C94="WIN",H94*(1-$B$4),-H94*(D94-1))</f>
        <v/>
      </c>
      <c r="J94" s="17">
        <f>J93+I94</f>
        <v/>
      </c>
    </row>
    <row r="95">
      <c r="A95" s="2" t="n">
        <v>87</v>
      </c>
      <c r="B95" s="2" t="inlineStr">
        <is>
          <t>3-0</t>
        </is>
      </c>
      <c r="C95" s="4" t="inlineStr">
        <is>
          <t>WIN</t>
        </is>
      </c>
      <c r="D95" s="3" t="n">
        <v>12.5</v>
      </c>
      <c r="E95" s="15">
        <f>$B$2</f>
        <v/>
      </c>
      <c r="F95" s="16">
        <f>IF(C95="WIN",E95*(1-$B$4),-E95*(D95-1))</f>
        <v/>
      </c>
      <c r="G95" s="17">
        <f>G94+F95</f>
        <v/>
      </c>
      <c r="H95" s="15">
        <f>IF(C94="LOSS",$B$2,MIN(H94*$B$3,$B$2*$B$3^$B$6))</f>
        <v/>
      </c>
      <c r="I95" s="16">
        <f>IF(C95="WIN",H95*(1-$B$4),-H95*(D95-1))</f>
        <v/>
      </c>
      <c r="J95" s="17">
        <f>J94+I95</f>
        <v/>
      </c>
    </row>
    <row r="96">
      <c r="A96" s="2" t="n">
        <v>88</v>
      </c>
      <c r="B96" s="2" t="inlineStr">
        <is>
          <t>3-0</t>
        </is>
      </c>
      <c r="C96" s="4" t="inlineStr">
        <is>
          <t>WIN</t>
        </is>
      </c>
      <c r="D96" s="3" t="n">
        <v>12.5</v>
      </c>
      <c r="E96" s="15">
        <f>$B$2</f>
        <v/>
      </c>
      <c r="F96" s="16">
        <f>IF(C96="WIN",E96*(1-$B$4),-E96*(D96-1))</f>
        <v/>
      </c>
      <c r="G96" s="17">
        <f>G95+F96</f>
        <v/>
      </c>
      <c r="H96" s="15">
        <f>IF(C95="LOSS",$B$2,MIN(H95*$B$3,$B$2*$B$3^$B$6))</f>
        <v/>
      </c>
      <c r="I96" s="16">
        <f>IF(C96="WIN",H96*(1-$B$4),-H96*(D96-1))</f>
        <v/>
      </c>
      <c r="J96" s="17">
        <f>J95+I96</f>
        <v/>
      </c>
    </row>
    <row r="97">
      <c r="A97" s="2" t="n">
        <v>89</v>
      </c>
      <c r="B97" s="2" t="inlineStr">
        <is>
          <t>2-1</t>
        </is>
      </c>
      <c r="C97" s="4" t="inlineStr">
        <is>
          <t>WIN</t>
        </is>
      </c>
      <c r="D97" s="3" t="n">
        <v>11.5</v>
      </c>
      <c r="E97" s="15">
        <f>$B$2</f>
        <v/>
      </c>
      <c r="F97" s="16">
        <f>IF(C97="WIN",E97*(1-$B$4),-E97*(D97-1))</f>
        <v/>
      </c>
      <c r="G97" s="17">
        <f>G96+F97</f>
        <v/>
      </c>
      <c r="H97" s="15">
        <f>IF(C96="LOSS",$B$2,MIN(H96*$B$3,$B$2*$B$3^$B$6))</f>
        <v/>
      </c>
      <c r="I97" s="16">
        <f>IF(C97="WIN",H97*(1-$B$4),-H97*(D97-1))</f>
        <v/>
      </c>
      <c r="J97" s="17">
        <f>J96+I97</f>
        <v/>
      </c>
    </row>
    <row r="98">
      <c r="A98" s="2" t="n">
        <v>90</v>
      </c>
      <c r="B98" s="2" t="inlineStr">
        <is>
          <t>2-1</t>
        </is>
      </c>
      <c r="C98" s="4" t="inlineStr">
        <is>
          <t>WIN</t>
        </is>
      </c>
      <c r="D98" s="3" t="n">
        <v>11.5</v>
      </c>
      <c r="E98" s="15">
        <f>$B$2</f>
        <v/>
      </c>
      <c r="F98" s="16">
        <f>IF(C98="WIN",E98*(1-$B$4),-E98*(D98-1))</f>
        <v/>
      </c>
      <c r="G98" s="17">
        <f>G97+F98</f>
        <v/>
      </c>
      <c r="H98" s="15">
        <f>IF(C97="LOSS",$B$2,MIN(H97*$B$3,$B$2*$B$3^$B$6))</f>
        <v/>
      </c>
      <c r="I98" s="16">
        <f>IF(C98="WIN",H98*(1-$B$4),-H98*(D98-1))</f>
        <v/>
      </c>
      <c r="J98" s="17">
        <f>J97+I98</f>
        <v/>
      </c>
    </row>
    <row r="99">
      <c r="A99" s="2" t="n">
        <v>91</v>
      </c>
      <c r="B99" s="2" t="inlineStr">
        <is>
          <t>3-0</t>
        </is>
      </c>
      <c r="C99" s="4" t="inlineStr">
        <is>
          <t>WIN</t>
        </is>
      </c>
      <c r="D99" s="3" t="n">
        <v>10.5</v>
      </c>
      <c r="E99" s="15">
        <f>$B$2</f>
        <v/>
      </c>
      <c r="F99" s="16">
        <f>IF(C99="WIN",E99*(1-$B$4),-E99*(D99-1))</f>
        <v/>
      </c>
      <c r="G99" s="17">
        <f>G98+F99</f>
        <v/>
      </c>
      <c r="H99" s="15">
        <f>IF(C98="LOSS",$B$2,MIN(H98*$B$3,$B$2*$B$3^$B$6))</f>
        <v/>
      </c>
      <c r="I99" s="16">
        <f>IF(C99="WIN",H99*(1-$B$4),-H99*(D99-1))</f>
        <v/>
      </c>
      <c r="J99" s="17">
        <f>J98+I99</f>
        <v/>
      </c>
    </row>
    <row r="100">
      <c r="A100" s="2" t="n">
        <v>92</v>
      </c>
      <c r="B100" s="2" t="inlineStr">
        <is>
          <t>2-0</t>
        </is>
      </c>
      <c r="C100" s="4" t="inlineStr">
        <is>
          <t>WIN</t>
        </is>
      </c>
      <c r="D100" s="3" t="n">
        <v>12.5</v>
      </c>
      <c r="E100" s="15">
        <f>$B$2</f>
        <v/>
      </c>
      <c r="F100" s="16">
        <f>IF(C100="WIN",E100*(1-$B$4),-E100*(D100-1))</f>
        <v/>
      </c>
      <c r="G100" s="17">
        <f>G99+F100</f>
        <v/>
      </c>
      <c r="H100" s="15">
        <f>IF(C99="LOSS",$B$2,MIN(H99*$B$3,$B$2*$B$3^$B$6))</f>
        <v/>
      </c>
      <c r="I100" s="16">
        <f>IF(C100="WIN",H100*(1-$B$4),-H100*(D100-1))</f>
        <v/>
      </c>
      <c r="J100" s="17">
        <f>J99+I100</f>
        <v/>
      </c>
    </row>
    <row r="101">
      <c r="A101" s="2" t="n">
        <v>93</v>
      </c>
      <c r="B101" s="2" t="inlineStr">
        <is>
          <t>4-0</t>
        </is>
      </c>
      <c r="C101" s="4" t="inlineStr">
        <is>
          <t>WIN</t>
        </is>
      </c>
      <c r="D101" s="3" t="n">
        <v>11.5</v>
      </c>
      <c r="E101" s="15">
        <f>$B$2</f>
        <v/>
      </c>
      <c r="F101" s="16">
        <f>IF(C101="WIN",E101*(1-$B$4),-E101*(D101-1))</f>
        <v/>
      </c>
      <c r="G101" s="17">
        <f>G100+F101</f>
        <v/>
      </c>
      <c r="H101" s="15">
        <f>IF(C100="LOSS",$B$2,MIN(H100*$B$3,$B$2*$B$3^$B$6))</f>
        <v/>
      </c>
      <c r="I101" s="16">
        <f>IF(C101="WIN",H101*(1-$B$4),-H101*(D101-1))</f>
        <v/>
      </c>
      <c r="J101" s="17">
        <f>J100+I101</f>
        <v/>
      </c>
    </row>
    <row r="102">
      <c r="A102" s="2" t="n">
        <v>94</v>
      </c>
      <c r="B102" s="2" t="inlineStr">
        <is>
          <t>2-0</t>
        </is>
      </c>
      <c r="C102" s="4" t="inlineStr">
        <is>
          <t>WIN</t>
        </is>
      </c>
      <c r="D102" s="3" t="n">
        <v>14.5</v>
      </c>
      <c r="E102" s="15">
        <f>$B$2</f>
        <v/>
      </c>
      <c r="F102" s="16">
        <f>IF(C102="WIN",E102*(1-$B$4),-E102*(D102-1))</f>
        <v/>
      </c>
      <c r="G102" s="17">
        <f>G101+F102</f>
        <v/>
      </c>
      <c r="H102" s="15">
        <f>IF(C101="LOSS",$B$2,MIN(H101*$B$3,$B$2*$B$3^$B$6))</f>
        <v/>
      </c>
      <c r="I102" s="16">
        <f>IF(C102="WIN",H102*(1-$B$4),-H102*(D102-1))</f>
        <v/>
      </c>
      <c r="J102" s="17">
        <f>J101+I102</f>
        <v/>
      </c>
    </row>
    <row r="103">
      <c r="A103" s="2" t="n">
        <v>95</v>
      </c>
      <c r="B103" s="2" t="inlineStr">
        <is>
          <t>3-1</t>
        </is>
      </c>
      <c r="C103" s="4" t="inlineStr">
        <is>
          <t>WIN</t>
        </is>
      </c>
      <c r="D103" s="3" t="n">
        <v>11</v>
      </c>
      <c r="E103" s="15">
        <f>$B$2</f>
        <v/>
      </c>
      <c r="F103" s="16">
        <f>IF(C103="WIN",E103*(1-$B$4),-E103*(D103-1))</f>
        <v/>
      </c>
      <c r="G103" s="17">
        <f>G102+F103</f>
        <v/>
      </c>
      <c r="H103" s="15">
        <f>IF(C102="LOSS",$B$2,MIN(H102*$B$3,$B$2*$B$3^$B$6))</f>
        <v/>
      </c>
      <c r="I103" s="16">
        <f>IF(C103="WIN",H103*(1-$B$4),-H103*(D103-1))</f>
        <v/>
      </c>
      <c r="J103" s="17">
        <f>J102+I103</f>
        <v/>
      </c>
    </row>
    <row r="104">
      <c r="A104" s="2" t="n">
        <v>96</v>
      </c>
      <c r="B104" s="2" t="inlineStr">
        <is>
          <t>0-0</t>
        </is>
      </c>
      <c r="C104" s="4" t="inlineStr">
        <is>
          <t>WIN</t>
        </is>
      </c>
      <c r="D104" s="3" t="n">
        <v>8.6</v>
      </c>
      <c r="E104" s="15">
        <f>$B$2</f>
        <v/>
      </c>
      <c r="F104" s="16">
        <f>IF(C104="WIN",E104*(1-$B$4),-E104*(D104-1))</f>
        <v/>
      </c>
      <c r="G104" s="17">
        <f>G103+F104</f>
        <v/>
      </c>
      <c r="H104" s="15">
        <f>IF(C103="LOSS",$B$2,MIN(H103*$B$3,$B$2*$B$3^$B$6))</f>
        <v/>
      </c>
      <c r="I104" s="16">
        <f>IF(C104="WIN",H104*(1-$B$4),-H104*(D104-1))</f>
        <v/>
      </c>
      <c r="J104" s="17">
        <f>J103+I104</f>
        <v/>
      </c>
    </row>
    <row r="105">
      <c r="A105" s="2" t="n">
        <v>97</v>
      </c>
      <c r="B105" s="2" t="inlineStr">
        <is>
          <t>2-2</t>
        </is>
      </c>
      <c r="C105" s="4" t="inlineStr">
        <is>
          <t>WIN</t>
        </is>
      </c>
      <c r="D105" s="3" t="n">
        <v>13.5</v>
      </c>
      <c r="E105" s="15">
        <f>$B$2</f>
        <v/>
      </c>
      <c r="F105" s="16">
        <f>IF(C105="WIN",E105*(1-$B$4),-E105*(D105-1))</f>
        <v/>
      </c>
      <c r="G105" s="17">
        <f>G104+F105</f>
        <v/>
      </c>
      <c r="H105" s="15">
        <f>IF(C104="LOSS",$B$2,MIN(H104*$B$3,$B$2*$B$3^$B$6))</f>
        <v/>
      </c>
      <c r="I105" s="16">
        <f>IF(C105="WIN",H105*(1-$B$4),-H105*(D105-1))</f>
        <v/>
      </c>
      <c r="J105" s="17">
        <f>J104+I105</f>
        <v/>
      </c>
    </row>
    <row r="106">
      <c r="A106" s="2" t="n">
        <v>98</v>
      </c>
      <c r="B106" s="2" t="inlineStr">
        <is>
          <t>3-0</t>
        </is>
      </c>
      <c r="C106" s="4" t="inlineStr">
        <is>
          <t>WIN</t>
        </is>
      </c>
      <c r="D106" s="3" t="n">
        <v>10</v>
      </c>
      <c r="E106" s="15">
        <f>$B$2</f>
        <v/>
      </c>
      <c r="F106" s="16">
        <f>IF(C106="WIN",E106*(1-$B$4),-E106*(D106-1))</f>
        <v/>
      </c>
      <c r="G106" s="17">
        <f>G105+F106</f>
        <v/>
      </c>
      <c r="H106" s="15">
        <f>IF(C105="LOSS",$B$2,MIN(H105*$B$3,$B$2*$B$3^$B$6))</f>
        <v/>
      </c>
      <c r="I106" s="16">
        <f>IF(C106="WIN",H106*(1-$B$4),-H106*(D106-1))</f>
        <v/>
      </c>
      <c r="J106" s="17">
        <f>J105+I106</f>
        <v/>
      </c>
    </row>
    <row r="107">
      <c r="A107" s="2" t="n">
        <v>99</v>
      </c>
      <c r="B107" s="2" t="inlineStr">
        <is>
          <t>2-1</t>
        </is>
      </c>
      <c r="C107" s="4" t="inlineStr">
        <is>
          <t>WIN</t>
        </is>
      </c>
      <c r="D107" s="3" t="n">
        <v>12</v>
      </c>
      <c r="E107" s="15">
        <f>$B$2</f>
        <v/>
      </c>
      <c r="F107" s="16">
        <f>IF(C107="WIN",E107*(1-$B$4),-E107*(D107-1))</f>
        <v/>
      </c>
      <c r="G107" s="17">
        <f>G106+F107</f>
        <v/>
      </c>
      <c r="H107" s="15">
        <f>IF(C106="LOSS",$B$2,MIN(H106*$B$3,$B$2*$B$3^$B$6))</f>
        <v/>
      </c>
      <c r="I107" s="16">
        <f>IF(C107="WIN",H107*(1-$B$4),-H107*(D107-1))</f>
        <v/>
      </c>
      <c r="J107" s="17">
        <f>J106+I107</f>
        <v/>
      </c>
    </row>
    <row r="108">
      <c r="A108" s="2" t="n">
        <v>100</v>
      </c>
      <c r="B108" s="2" t="inlineStr">
        <is>
          <t>5-1</t>
        </is>
      </c>
      <c r="C108" s="4" t="inlineStr">
        <is>
          <t>WIN</t>
        </is>
      </c>
      <c r="D108" s="3" t="n">
        <v>8.199999999999999</v>
      </c>
      <c r="E108" s="15">
        <f>$B$2</f>
        <v/>
      </c>
      <c r="F108" s="16">
        <f>IF(C108="WIN",E108*(1-$B$4),-E108*(D108-1))</f>
        <v/>
      </c>
      <c r="G108" s="17">
        <f>G107+F108</f>
        <v/>
      </c>
      <c r="H108" s="15">
        <f>IF(C107="LOSS",$B$2,MIN(H107*$B$3,$B$2*$B$3^$B$6))</f>
        <v/>
      </c>
      <c r="I108" s="16">
        <f>IF(C108="WIN",H108*(1-$B$4),-H108*(D108-1))</f>
        <v/>
      </c>
      <c r="J108" s="17">
        <f>J107+I108</f>
        <v/>
      </c>
    </row>
    <row r="109">
      <c r="A109" s="2" t="n">
        <v>101</v>
      </c>
      <c r="B109" s="2" t="inlineStr">
        <is>
          <t>4-1</t>
        </is>
      </c>
      <c r="C109" s="4" t="inlineStr">
        <is>
          <t>WIN</t>
        </is>
      </c>
      <c r="D109" s="3" t="n">
        <v>12.5</v>
      </c>
      <c r="E109" s="15">
        <f>$B$2</f>
        <v/>
      </c>
      <c r="F109" s="16">
        <f>IF(C109="WIN",E109*(1-$B$4),-E109*(D109-1))</f>
        <v/>
      </c>
      <c r="G109" s="17">
        <f>G108+F109</f>
        <v/>
      </c>
      <c r="H109" s="15">
        <f>IF(C108="LOSS",$B$2,MIN(H108*$B$3,$B$2*$B$3^$B$6))</f>
        <v/>
      </c>
      <c r="I109" s="16">
        <f>IF(C109="WIN",H109*(1-$B$4),-H109*(D109-1))</f>
        <v/>
      </c>
      <c r="J109" s="17">
        <f>J108+I109</f>
        <v/>
      </c>
    </row>
    <row r="110">
      <c r="A110" s="2" t="n">
        <v>102</v>
      </c>
      <c r="B110" s="2" t="inlineStr">
        <is>
          <t>0-0</t>
        </is>
      </c>
      <c r="C110" s="4" t="inlineStr">
        <is>
          <t>WIN</t>
        </is>
      </c>
      <c r="D110" s="3" t="n">
        <v>8.4</v>
      </c>
      <c r="E110" s="15">
        <f>$B$2</f>
        <v/>
      </c>
      <c r="F110" s="16">
        <f>IF(C110="WIN",E110*(1-$B$4),-E110*(D110-1))</f>
        <v/>
      </c>
      <c r="G110" s="17">
        <f>G109+F110</f>
        <v/>
      </c>
      <c r="H110" s="15">
        <f>IF(C109="LOSS",$B$2,MIN(H109*$B$3,$B$2*$B$3^$B$6))</f>
        <v/>
      </c>
      <c r="I110" s="16">
        <f>IF(C110="WIN",H110*(1-$B$4),-H110*(D110-1))</f>
        <v/>
      </c>
      <c r="J110" s="17">
        <f>J109+I110</f>
        <v/>
      </c>
    </row>
    <row r="111">
      <c r="A111" s="2" t="n">
        <v>103</v>
      </c>
      <c r="B111" s="2" t="inlineStr">
        <is>
          <t>2-2</t>
        </is>
      </c>
      <c r="C111" s="4" t="inlineStr">
        <is>
          <t>WIN</t>
        </is>
      </c>
      <c r="D111" s="3" t="n">
        <v>11.5</v>
      </c>
      <c r="E111" s="15">
        <f>$B$2</f>
        <v/>
      </c>
      <c r="F111" s="16">
        <f>IF(C111="WIN",E111*(1-$B$4),-E111*(D111-1))</f>
        <v/>
      </c>
      <c r="G111" s="17">
        <f>G110+F111</f>
        <v/>
      </c>
      <c r="H111" s="15">
        <f>IF(C110="LOSS",$B$2,MIN(H110*$B$3,$B$2*$B$3^$B$6))</f>
        <v/>
      </c>
      <c r="I111" s="16">
        <f>IF(C111="WIN",H111*(1-$B$4),-H111*(D111-1))</f>
        <v/>
      </c>
      <c r="J111" s="17">
        <f>J110+I111</f>
        <v/>
      </c>
    </row>
    <row r="112">
      <c r="A112" s="2" t="n">
        <v>104</v>
      </c>
      <c r="B112" s="2" t="inlineStr">
        <is>
          <t>4-1</t>
        </is>
      </c>
      <c r="C112" s="4" t="inlineStr">
        <is>
          <t>WIN</t>
        </is>
      </c>
      <c r="D112" s="3" t="n">
        <v>9.199999999999999</v>
      </c>
      <c r="E112" s="15">
        <f>$B$2</f>
        <v/>
      </c>
      <c r="F112" s="16">
        <f>IF(C112="WIN",E112*(1-$B$4),-E112*(D112-1))</f>
        <v/>
      </c>
      <c r="G112" s="17">
        <f>G111+F112</f>
        <v/>
      </c>
      <c r="H112" s="15">
        <f>IF(C111="LOSS",$B$2,MIN(H111*$B$3,$B$2*$B$3^$B$6))</f>
        <v/>
      </c>
      <c r="I112" s="16">
        <f>IF(C112="WIN",H112*(1-$B$4),-H112*(D112-1))</f>
        <v/>
      </c>
      <c r="J112" s="17">
        <f>J111+I112</f>
        <v/>
      </c>
    </row>
    <row r="113">
      <c r="A113" s="2" t="n">
        <v>105</v>
      </c>
      <c r="B113" s="2" t="inlineStr">
        <is>
          <t>3-1</t>
        </is>
      </c>
      <c r="C113" s="4" t="inlineStr">
        <is>
          <t>WIN</t>
        </is>
      </c>
      <c r="D113" s="3" t="n">
        <v>8</v>
      </c>
      <c r="E113" s="15">
        <f>$B$2</f>
        <v/>
      </c>
      <c r="F113" s="16">
        <f>IF(C113="WIN",E113*(1-$B$4),-E113*(D113-1))</f>
        <v/>
      </c>
      <c r="G113" s="17">
        <f>G112+F113</f>
        <v/>
      </c>
      <c r="H113" s="15">
        <f>IF(C112="LOSS",$B$2,MIN(H112*$B$3,$B$2*$B$3^$B$6))</f>
        <v/>
      </c>
      <c r="I113" s="16">
        <f>IF(C113="WIN",H113*(1-$B$4),-H113*(D113-1))</f>
        <v/>
      </c>
      <c r="J113" s="17">
        <f>J112+I113</f>
        <v/>
      </c>
    </row>
    <row r="114">
      <c r="A114" s="2" t="n">
        <v>106</v>
      </c>
      <c r="B114" s="2" t="inlineStr">
        <is>
          <t>1-2</t>
        </is>
      </c>
      <c r="C114" s="5" t="inlineStr">
        <is>
          <t>LOSS</t>
        </is>
      </c>
      <c r="D114" s="3" t="n">
        <v>11.5</v>
      </c>
      <c r="E114" s="15">
        <f>$B$2</f>
        <v/>
      </c>
      <c r="F114" s="18">
        <f>IF(C114="WIN",E114*(1-$B$4),-E114*(D114-1))</f>
        <v/>
      </c>
      <c r="G114" s="17">
        <f>G113+F114</f>
        <v/>
      </c>
      <c r="H114" s="15">
        <f>IF(C113="LOSS",$B$2,MIN(H113*$B$3,$B$2*$B$3^$B$6))</f>
        <v/>
      </c>
      <c r="I114" s="18">
        <f>IF(C114="WIN",H114*(1-$B$4),-H114*(D114-1))</f>
        <v/>
      </c>
      <c r="J114" s="17">
        <f>J113+I114</f>
        <v/>
      </c>
    </row>
    <row r="115">
      <c r="A115" s="2" t="n">
        <v>107</v>
      </c>
      <c r="B115" s="2" t="inlineStr">
        <is>
          <t>1-1</t>
        </is>
      </c>
      <c r="C115" s="4" t="inlineStr">
        <is>
          <t>WIN</t>
        </is>
      </c>
      <c r="D115" s="3" t="n">
        <v>8.800000000000001</v>
      </c>
      <c r="E115" s="15">
        <f>$B$2</f>
        <v/>
      </c>
      <c r="F115" s="16">
        <f>IF(C115="WIN",E115*(1-$B$4),-E115*(D115-1))</f>
        <v/>
      </c>
      <c r="G115" s="17">
        <f>G114+F115</f>
        <v/>
      </c>
      <c r="H115" s="15">
        <f>IF(C114="LOSS",$B$2,MIN(H114*$B$3,$B$2*$B$3^$B$6))</f>
        <v/>
      </c>
      <c r="I115" s="16">
        <f>IF(C115="WIN",H115*(1-$B$4),-H115*(D115-1))</f>
        <v/>
      </c>
      <c r="J115" s="17">
        <f>J114+I115</f>
        <v/>
      </c>
    </row>
    <row r="116">
      <c r="A116" s="2" t="n">
        <v>108</v>
      </c>
      <c r="B116" s="2" t="inlineStr">
        <is>
          <t>3-1</t>
        </is>
      </c>
      <c r="C116" s="4" t="inlineStr">
        <is>
          <t>WIN</t>
        </is>
      </c>
      <c r="D116" s="3" t="n">
        <v>13</v>
      </c>
      <c r="E116" s="15">
        <f>$B$2</f>
        <v/>
      </c>
      <c r="F116" s="16">
        <f>IF(C116="WIN",E116*(1-$B$4),-E116*(D116-1))</f>
        <v/>
      </c>
      <c r="G116" s="17">
        <f>G115+F116</f>
        <v/>
      </c>
      <c r="H116" s="15">
        <f>IF(C115="LOSS",$B$2,MIN(H115*$B$3,$B$2*$B$3^$B$6))</f>
        <v/>
      </c>
      <c r="I116" s="16">
        <f>IF(C116="WIN",H116*(1-$B$4),-H116*(D116-1))</f>
        <v/>
      </c>
      <c r="J116" s="17">
        <f>J115+I116</f>
        <v/>
      </c>
    </row>
    <row r="117">
      <c r="A117" s="2" t="n">
        <v>109</v>
      </c>
      <c r="B117" s="2" t="inlineStr">
        <is>
          <t>4-1</t>
        </is>
      </c>
      <c r="C117" s="4" t="inlineStr">
        <is>
          <t>WIN</t>
        </is>
      </c>
      <c r="D117" s="3" t="n">
        <v>9.199999999999999</v>
      </c>
      <c r="E117" s="15">
        <f>$B$2</f>
        <v/>
      </c>
      <c r="F117" s="16">
        <f>IF(C117="WIN",E117*(1-$B$4),-E117*(D117-1))</f>
        <v/>
      </c>
      <c r="G117" s="17">
        <f>G116+F117</f>
        <v/>
      </c>
      <c r="H117" s="15">
        <f>IF(C116="LOSS",$B$2,MIN(H116*$B$3,$B$2*$B$3^$B$6))</f>
        <v/>
      </c>
      <c r="I117" s="16">
        <f>IF(C117="WIN",H117*(1-$B$4),-H117*(D117-1))</f>
        <v/>
      </c>
      <c r="J117" s="17">
        <f>J116+I117</f>
        <v/>
      </c>
    </row>
    <row r="118">
      <c r="A118" s="2" t="n">
        <v>110</v>
      </c>
      <c r="B118" s="2" t="inlineStr">
        <is>
          <t>2-0</t>
        </is>
      </c>
      <c r="C118" s="4" t="inlineStr">
        <is>
          <t>WIN</t>
        </is>
      </c>
      <c r="D118" s="3" t="n">
        <v>12</v>
      </c>
      <c r="E118" s="15">
        <f>$B$2</f>
        <v/>
      </c>
      <c r="F118" s="16">
        <f>IF(C118="WIN",E118*(1-$B$4),-E118*(D118-1))</f>
        <v/>
      </c>
      <c r="G118" s="17">
        <f>G117+F118</f>
        <v/>
      </c>
      <c r="H118" s="15">
        <f>IF(C117="LOSS",$B$2,MIN(H117*$B$3,$B$2*$B$3^$B$6))</f>
        <v/>
      </c>
      <c r="I118" s="16">
        <f>IF(C118="WIN",H118*(1-$B$4),-H118*(D118-1))</f>
        <v/>
      </c>
      <c r="J118" s="17">
        <f>J117+I118</f>
        <v/>
      </c>
    </row>
    <row r="119">
      <c r="A119" s="2" t="n">
        <v>111</v>
      </c>
      <c r="B119" s="2" t="inlineStr">
        <is>
          <t>2-1</t>
        </is>
      </c>
      <c r="C119" s="4" t="inlineStr">
        <is>
          <t>WIN</t>
        </is>
      </c>
      <c r="D119" s="3" t="n">
        <v>8.800000000000001</v>
      </c>
      <c r="E119" s="15">
        <f>$B$2</f>
        <v/>
      </c>
      <c r="F119" s="16">
        <f>IF(C119="WIN",E119*(1-$B$4),-E119*(D119-1))</f>
        <v/>
      </c>
      <c r="G119" s="17">
        <f>G118+F119</f>
        <v/>
      </c>
      <c r="H119" s="15">
        <f>IF(C118="LOSS",$B$2,MIN(H118*$B$3,$B$2*$B$3^$B$6))</f>
        <v/>
      </c>
      <c r="I119" s="16">
        <f>IF(C119="WIN",H119*(1-$B$4),-H119*(D119-1))</f>
        <v/>
      </c>
      <c r="J119" s="17">
        <f>J118+I119</f>
        <v/>
      </c>
    </row>
    <row r="120">
      <c r="A120" s="2" t="n">
        <v>112</v>
      </c>
      <c r="B120" s="2" t="inlineStr">
        <is>
          <t>4-3</t>
        </is>
      </c>
      <c r="C120" s="4" t="inlineStr">
        <is>
          <t>WIN</t>
        </is>
      </c>
      <c r="D120" s="3" t="n">
        <v>9.800000000000001</v>
      </c>
      <c r="E120" s="15">
        <f>$B$2</f>
        <v/>
      </c>
      <c r="F120" s="16">
        <f>IF(C120="WIN",E120*(1-$B$4),-E120*(D120-1))</f>
        <v/>
      </c>
      <c r="G120" s="17">
        <f>G119+F120</f>
        <v/>
      </c>
      <c r="H120" s="15">
        <f>IF(C119="LOSS",$B$2,MIN(H119*$B$3,$B$2*$B$3^$B$6))</f>
        <v/>
      </c>
      <c r="I120" s="16">
        <f>IF(C120="WIN",H120*(1-$B$4),-H120*(D120-1))</f>
        <v/>
      </c>
      <c r="J120" s="17">
        <f>J119+I120</f>
        <v/>
      </c>
    </row>
    <row r="121">
      <c r="A121" s="2" t="n">
        <v>113</v>
      </c>
      <c r="B121" s="2" t="inlineStr">
        <is>
          <t>6-0</t>
        </is>
      </c>
      <c r="C121" s="4" t="inlineStr">
        <is>
          <t>WIN</t>
        </is>
      </c>
      <c r="D121" s="3" t="n">
        <v>13.5</v>
      </c>
      <c r="E121" s="15">
        <f>$B$2</f>
        <v/>
      </c>
      <c r="F121" s="16">
        <f>IF(C121="WIN",E121*(1-$B$4),-E121*(D121-1))</f>
        <v/>
      </c>
      <c r="G121" s="17">
        <f>G120+F121</f>
        <v/>
      </c>
      <c r="H121" s="15">
        <f>IF(C120="LOSS",$B$2,MIN(H120*$B$3,$B$2*$B$3^$B$6))</f>
        <v/>
      </c>
      <c r="I121" s="16">
        <f>IF(C121="WIN",H121*(1-$B$4),-H121*(D121-1))</f>
        <v/>
      </c>
      <c r="J121" s="17">
        <f>J120+I121</f>
        <v/>
      </c>
    </row>
    <row r="122">
      <c r="A122" s="2" t="n">
        <v>114</v>
      </c>
      <c r="B122" s="2" t="inlineStr">
        <is>
          <t>1-0</t>
        </is>
      </c>
      <c r="C122" s="4" t="inlineStr">
        <is>
          <t>WIN</t>
        </is>
      </c>
      <c r="D122" s="3" t="n">
        <v>14.5</v>
      </c>
      <c r="E122" s="15">
        <f>$B$2</f>
        <v/>
      </c>
      <c r="F122" s="16">
        <f>IF(C122="WIN",E122*(1-$B$4),-E122*(D122-1))</f>
        <v/>
      </c>
      <c r="G122" s="17">
        <f>G121+F122</f>
        <v/>
      </c>
      <c r="H122" s="15">
        <f>IF(C121="LOSS",$B$2,MIN(H121*$B$3,$B$2*$B$3^$B$6))</f>
        <v/>
      </c>
      <c r="I122" s="16">
        <f>IF(C122="WIN",H122*(1-$B$4),-H122*(D122-1))</f>
        <v/>
      </c>
      <c r="J122" s="17">
        <f>J121+I122</f>
        <v/>
      </c>
    </row>
    <row r="123">
      <c r="A123" s="2" t="n">
        <v>115</v>
      </c>
      <c r="B123" s="2" t="inlineStr">
        <is>
          <t>1-0</t>
        </is>
      </c>
      <c r="C123" s="4" t="inlineStr">
        <is>
          <t>WIN</t>
        </is>
      </c>
      <c r="D123" s="3" t="n">
        <v>10</v>
      </c>
      <c r="E123" s="15">
        <f>$B$2</f>
        <v/>
      </c>
      <c r="F123" s="16">
        <f>IF(C123="WIN",E123*(1-$B$4),-E123*(D123-1))</f>
        <v/>
      </c>
      <c r="G123" s="17">
        <f>G122+F123</f>
        <v/>
      </c>
      <c r="H123" s="15">
        <f>IF(C122="LOSS",$B$2,MIN(H122*$B$3,$B$2*$B$3^$B$6))</f>
        <v/>
      </c>
      <c r="I123" s="16">
        <f>IF(C123="WIN",H123*(1-$B$4),-H123*(D123-1))</f>
        <v/>
      </c>
      <c r="J123" s="17">
        <f>J122+I123</f>
        <v/>
      </c>
    </row>
    <row r="124">
      <c r="A124" s="2" t="n">
        <v>116</v>
      </c>
      <c r="B124" s="2" t="inlineStr">
        <is>
          <t>1-1</t>
        </is>
      </c>
      <c r="C124" s="4" t="inlineStr">
        <is>
          <t>WIN</t>
        </is>
      </c>
      <c r="D124" s="3" t="n">
        <v>8.6</v>
      </c>
      <c r="E124" s="15">
        <f>$B$2</f>
        <v/>
      </c>
      <c r="F124" s="16">
        <f>IF(C124="WIN",E124*(1-$B$4),-E124*(D124-1))</f>
        <v/>
      </c>
      <c r="G124" s="17">
        <f>G123+F124</f>
        <v/>
      </c>
      <c r="H124" s="15">
        <f>IF(C123="LOSS",$B$2,MIN(H123*$B$3,$B$2*$B$3^$B$6))</f>
        <v/>
      </c>
      <c r="I124" s="16">
        <f>IF(C124="WIN",H124*(1-$B$4),-H124*(D124-1))</f>
        <v/>
      </c>
      <c r="J124" s="17">
        <f>J123+I124</f>
        <v/>
      </c>
    </row>
    <row r="125">
      <c r="A125" s="2" t="n">
        <v>117</v>
      </c>
      <c r="B125" s="2" t="inlineStr">
        <is>
          <t>4-0</t>
        </is>
      </c>
      <c r="C125" s="4" t="inlineStr">
        <is>
          <t>WIN</t>
        </is>
      </c>
      <c r="D125" s="3" t="n">
        <v>14.5</v>
      </c>
      <c r="E125" s="15">
        <f>$B$2</f>
        <v/>
      </c>
      <c r="F125" s="16">
        <f>IF(C125="WIN",E125*(1-$B$4),-E125*(D125-1))</f>
        <v/>
      </c>
      <c r="G125" s="17">
        <f>G124+F125</f>
        <v/>
      </c>
      <c r="H125" s="15">
        <f>IF(C124="LOSS",$B$2,MIN(H124*$B$3,$B$2*$B$3^$B$6))</f>
        <v/>
      </c>
      <c r="I125" s="16">
        <f>IF(C125="WIN",H125*(1-$B$4),-H125*(D125-1))</f>
        <v/>
      </c>
      <c r="J125" s="17">
        <f>J124+I125</f>
        <v/>
      </c>
    </row>
    <row r="126">
      <c r="A126" s="2" t="n">
        <v>118</v>
      </c>
      <c r="B126" s="2" t="inlineStr">
        <is>
          <t>5-1</t>
        </is>
      </c>
      <c r="C126" s="4" t="inlineStr">
        <is>
          <t>WIN</t>
        </is>
      </c>
      <c r="D126" s="3" t="n">
        <v>12</v>
      </c>
      <c r="E126" s="15">
        <f>$B$2</f>
        <v/>
      </c>
      <c r="F126" s="16">
        <f>IF(C126="WIN",E126*(1-$B$4),-E126*(D126-1))</f>
        <v/>
      </c>
      <c r="G126" s="17">
        <f>G125+F126</f>
        <v/>
      </c>
      <c r="H126" s="15">
        <f>IF(C125="LOSS",$B$2,MIN(H125*$B$3,$B$2*$B$3^$B$6))</f>
        <v/>
      </c>
      <c r="I126" s="16">
        <f>IF(C126="WIN",H126*(1-$B$4),-H126*(D126-1))</f>
        <v/>
      </c>
      <c r="J126" s="17">
        <f>J125+I126</f>
        <v/>
      </c>
    </row>
    <row r="127">
      <c r="A127" s="2" t="n">
        <v>119</v>
      </c>
      <c r="B127" s="2" t="inlineStr">
        <is>
          <t>3-1</t>
        </is>
      </c>
      <c r="C127" s="4" t="inlineStr">
        <is>
          <t>WIN</t>
        </is>
      </c>
      <c r="D127" s="3" t="n">
        <v>11.5</v>
      </c>
      <c r="E127" s="15">
        <f>$B$2</f>
        <v/>
      </c>
      <c r="F127" s="16">
        <f>IF(C127="WIN",E127*(1-$B$4),-E127*(D127-1))</f>
        <v/>
      </c>
      <c r="G127" s="17">
        <f>G126+F127</f>
        <v/>
      </c>
      <c r="H127" s="15">
        <f>IF(C126="LOSS",$B$2,MIN(H126*$B$3,$B$2*$B$3^$B$6))</f>
        <v/>
      </c>
      <c r="I127" s="16">
        <f>IF(C127="WIN",H127*(1-$B$4),-H127*(D127-1))</f>
        <v/>
      </c>
      <c r="J127" s="17">
        <f>J126+I127</f>
        <v/>
      </c>
    </row>
    <row r="128">
      <c r="A128" s="2" t="n">
        <v>120</v>
      </c>
      <c r="B128" s="2" t="inlineStr">
        <is>
          <t>3-2</t>
        </is>
      </c>
      <c r="C128" s="4" t="inlineStr">
        <is>
          <t>WIN</t>
        </is>
      </c>
      <c r="D128" s="3" t="n">
        <v>8.199999999999999</v>
      </c>
      <c r="E128" s="15">
        <f>$B$2</f>
        <v/>
      </c>
      <c r="F128" s="16">
        <f>IF(C128="WIN",E128*(1-$B$4),-E128*(D128-1))</f>
        <v/>
      </c>
      <c r="G128" s="17">
        <f>G127+F128</f>
        <v/>
      </c>
      <c r="H128" s="15">
        <f>IF(C127="LOSS",$B$2,MIN(H127*$B$3,$B$2*$B$3^$B$6))</f>
        <v/>
      </c>
      <c r="I128" s="16">
        <f>IF(C128="WIN",H128*(1-$B$4),-H128*(D128-1))</f>
        <v/>
      </c>
      <c r="J128" s="17">
        <f>J127+I128</f>
        <v/>
      </c>
    </row>
    <row r="129">
      <c r="A129" s="2" t="n">
        <v>121</v>
      </c>
      <c r="B129" s="2" t="inlineStr">
        <is>
          <t>2-1</t>
        </is>
      </c>
      <c r="C129" s="4" t="inlineStr">
        <is>
          <t>WIN</t>
        </is>
      </c>
      <c r="D129" s="3" t="n">
        <v>12</v>
      </c>
      <c r="E129" s="15">
        <f>$B$2</f>
        <v/>
      </c>
      <c r="F129" s="16">
        <f>IF(C129="WIN",E129*(1-$B$4),-E129*(D129-1))</f>
        <v/>
      </c>
      <c r="G129" s="17">
        <f>G128+F129</f>
        <v/>
      </c>
      <c r="H129" s="15">
        <f>IF(C128="LOSS",$B$2,MIN(H128*$B$3,$B$2*$B$3^$B$6))</f>
        <v/>
      </c>
      <c r="I129" s="16">
        <f>IF(C129="WIN",H129*(1-$B$4),-H129*(D129-1))</f>
        <v/>
      </c>
      <c r="J129" s="17">
        <f>J128+I129</f>
        <v/>
      </c>
    </row>
    <row r="130">
      <c r="A130" s="2" t="n">
        <v>122</v>
      </c>
      <c r="B130" s="2" t="inlineStr">
        <is>
          <t>3-0</t>
        </is>
      </c>
      <c r="C130" s="4" t="inlineStr">
        <is>
          <t>WIN</t>
        </is>
      </c>
      <c r="D130" s="3" t="n">
        <v>10</v>
      </c>
      <c r="E130" s="15">
        <f>$B$2</f>
        <v/>
      </c>
      <c r="F130" s="16">
        <f>IF(C130="WIN",E130*(1-$B$4),-E130*(D130-1))</f>
        <v/>
      </c>
      <c r="G130" s="17">
        <f>G129+F130</f>
        <v/>
      </c>
      <c r="H130" s="15">
        <f>IF(C129="LOSS",$B$2,MIN(H129*$B$3,$B$2*$B$3^$B$6))</f>
        <v/>
      </c>
      <c r="I130" s="16">
        <f>IF(C130="WIN",H130*(1-$B$4),-H130*(D130-1))</f>
        <v/>
      </c>
      <c r="J130" s="17">
        <f>J129+I130</f>
        <v/>
      </c>
    </row>
    <row r="131">
      <c r="A131" s="2" t="n">
        <v>123</v>
      </c>
      <c r="B131" s="2" t="inlineStr">
        <is>
          <t>2-1</t>
        </is>
      </c>
      <c r="C131" s="4" t="inlineStr">
        <is>
          <t>WIN</t>
        </is>
      </c>
      <c r="D131" s="3" t="n">
        <v>9</v>
      </c>
      <c r="E131" s="15">
        <f>$B$2</f>
        <v/>
      </c>
      <c r="F131" s="16">
        <f>IF(C131="WIN",E131*(1-$B$4),-E131*(D131-1))</f>
        <v/>
      </c>
      <c r="G131" s="17">
        <f>G130+F131</f>
        <v/>
      </c>
      <c r="H131" s="15">
        <f>IF(C130="LOSS",$B$2,MIN(H130*$B$3,$B$2*$B$3^$B$6))</f>
        <v/>
      </c>
      <c r="I131" s="16">
        <f>IF(C131="WIN",H131*(1-$B$4),-H131*(D131-1))</f>
        <v/>
      </c>
      <c r="J131" s="17">
        <f>J130+I131</f>
        <v/>
      </c>
    </row>
    <row r="132">
      <c r="A132" s="2" t="n">
        <v>124</v>
      </c>
      <c r="B132" s="2" t="inlineStr">
        <is>
          <t>2-0</t>
        </is>
      </c>
      <c r="C132" s="4" t="inlineStr">
        <is>
          <t>WIN</t>
        </is>
      </c>
      <c r="D132" s="3" t="n">
        <v>14</v>
      </c>
      <c r="E132" s="15">
        <f>$B$2</f>
        <v/>
      </c>
      <c r="F132" s="16">
        <f>IF(C132="WIN",E132*(1-$B$4),-E132*(D132-1))</f>
        <v/>
      </c>
      <c r="G132" s="17">
        <f>G131+F132</f>
        <v/>
      </c>
      <c r="H132" s="15">
        <f>IF(C131="LOSS",$B$2,MIN(H131*$B$3,$B$2*$B$3^$B$6))</f>
        <v/>
      </c>
      <c r="I132" s="16">
        <f>IF(C132="WIN",H132*(1-$B$4),-H132*(D132-1))</f>
        <v/>
      </c>
      <c r="J132" s="17">
        <f>J131+I132</f>
        <v/>
      </c>
    </row>
    <row r="133">
      <c r="A133" s="2" t="n">
        <v>125</v>
      </c>
      <c r="B133" s="2" t="inlineStr">
        <is>
          <t>3-0</t>
        </is>
      </c>
      <c r="C133" s="4" t="inlineStr">
        <is>
          <t>WIN</t>
        </is>
      </c>
      <c r="D133" s="3" t="n">
        <v>11</v>
      </c>
      <c r="E133" s="15">
        <f>$B$2</f>
        <v/>
      </c>
      <c r="F133" s="16">
        <f>IF(C133="WIN",E133*(1-$B$4),-E133*(D133-1))</f>
        <v/>
      </c>
      <c r="G133" s="17">
        <f>G132+F133</f>
        <v/>
      </c>
      <c r="H133" s="15">
        <f>IF(C132="LOSS",$B$2,MIN(H132*$B$3,$B$2*$B$3^$B$6))</f>
        <v/>
      </c>
      <c r="I133" s="16">
        <f>IF(C133="WIN",H133*(1-$B$4),-H133*(D133-1))</f>
        <v/>
      </c>
      <c r="J133" s="17">
        <f>J132+I133</f>
        <v/>
      </c>
    </row>
    <row r="134">
      <c r="A134" s="2" t="n">
        <v>126</v>
      </c>
      <c r="B134" s="2" t="inlineStr">
        <is>
          <t>2-1</t>
        </is>
      </c>
      <c r="C134" s="4" t="inlineStr">
        <is>
          <t>WIN</t>
        </is>
      </c>
      <c r="D134" s="3" t="n">
        <v>12.5</v>
      </c>
      <c r="E134" s="15">
        <f>$B$2</f>
        <v/>
      </c>
      <c r="F134" s="16">
        <f>IF(C134="WIN",E134*(1-$B$4),-E134*(D134-1))</f>
        <v/>
      </c>
      <c r="G134" s="17">
        <f>G133+F134</f>
        <v/>
      </c>
      <c r="H134" s="15">
        <f>IF(C133="LOSS",$B$2,MIN(H133*$B$3,$B$2*$B$3^$B$6))</f>
        <v/>
      </c>
      <c r="I134" s="16">
        <f>IF(C134="WIN",H134*(1-$B$4),-H134*(D134-1))</f>
        <v/>
      </c>
      <c r="J134" s="17">
        <f>J133+I134</f>
        <v/>
      </c>
    </row>
    <row r="135">
      <c r="A135" s="2" t="n">
        <v>127</v>
      </c>
      <c r="B135" s="2" t="inlineStr">
        <is>
          <t>1-1</t>
        </is>
      </c>
      <c r="C135" s="4" t="inlineStr">
        <is>
          <t>WIN</t>
        </is>
      </c>
      <c r="D135" s="3" t="n">
        <v>8.800000000000001</v>
      </c>
      <c r="E135" s="15">
        <f>$B$2</f>
        <v/>
      </c>
      <c r="F135" s="16">
        <f>IF(C135="WIN",E135*(1-$B$4),-E135*(D135-1))</f>
        <v/>
      </c>
      <c r="G135" s="17">
        <f>G134+F135</f>
        <v/>
      </c>
      <c r="H135" s="15">
        <f>IF(C134="LOSS",$B$2,MIN(H134*$B$3,$B$2*$B$3^$B$6))</f>
        <v/>
      </c>
      <c r="I135" s="16">
        <f>IF(C135="WIN",H135*(1-$B$4),-H135*(D135-1))</f>
        <v/>
      </c>
      <c r="J135" s="17">
        <f>J134+I135</f>
        <v/>
      </c>
    </row>
    <row r="136">
      <c r="A136" s="2" t="n">
        <v>128</v>
      </c>
      <c r="B136" s="2" t="inlineStr">
        <is>
          <t>3-0</t>
        </is>
      </c>
      <c r="C136" s="4" t="inlineStr">
        <is>
          <t>WIN</t>
        </is>
      </c>
      <c r="D136" s="3" t="n">
        <v>11</v>
      </c>
      <c r="E136" s="15">
        <f>$B$2</f>
        <v/>
      </c>
      <c r="F136" s="16">
        <f>IF(C136="WIN",E136*(1-$B$4),-E136*(D136-1))</f>
        <v/>
      </c>
      <c r="G136" s="17">
        <f>G135+F136</f>
        <v/>
      </c>
      <c r="H136" s="15">
        <f>IF(C135="LOSS",$B$2,MIN(H135*$B$3,$B$2*$B$3^$B$6))</f>
        <v/>
      </c>
      <c r="I136" s="16">
        <f>IF(C136="WIN",H136*(1-$B$4),-H136*(D136-1))</f>
        <v/>
      </c>
      <c r="J136" s="17">
        <f>J135+I136</f>
        <v/>
      </c>
    </row>
    <row r="137">
      <c r="A137" s="2" t="n">
        <v>129</v>
      </c>
      <c r="B137" s="2" t="inlineStr">
        <is>
          <t>2-0</t>
        </is>
      </c>
      <c r="C137" s="4" t="inlineStr">
        <is>
          <t>WIN</t>
        </is>
      </c>
      <c r="D137" s="3" t="n">
        <v>9.4</v>
      </c>
      <c r="E137" s="15">
        <f>$B$2</f>
        <v/>
      </c>
      <c r="F137" s="16">
        <f>IF(C137="WIN",E137*(1-$B$4),-E137*(D137-1))</f>
        <v/>
      </c>
      <c r="G137" s="17">
        <f>G136+F137</f>
        <v/>
      </c>
      <c r="H137" s="15">
        <f>IF(C136="LOSS",$B$2,MIN(H136*$B$3,$B$2*$B$3^$B$6))</f>
        <v/>
      </c>
      <c r="I137" s="16">
        <f>IF(C137="WIN",H137*(1-$B$4),-H137*(D137-1))</f>
        <v/>
      </c>
      <c r="J137" s="17">
        <f>J136+I137</f>
        <v/>
      </c>
    </row>
    <row r="138">
      <c r="A138" s="2" t="n">
        <v>130</v>
      </c>
      <c r="B138" s="2" t="inlineStr">
        <is>
          <t>2-0</t>
        </is>
      </c>
      <c r="C138" s="4" t="inlineStr">
        <is>
          <t>WIN</t>
        </is>
      </c>
      <c r="D138" s="3" t="n">
        <v>12</v>
      </c>
      <c r="E138" s="15">
        <f>$B$2</f>
        <v/>
      </c>
      <c r="F138" s="16">
        <f>IF(C138="WIN",E138*(1-$B$4),-E138*(D138-1))</f>
        <v/>
      </c>
      <c r="G138" s="17">
        <f>G137+F138</f>
        <v/>
      </c>
      <c r="H138" s="15">
        <f>IF(C137="LOSS",$B$2,MIN(H137*$B$3,$B$2*$B$3^$B$6))</f>
        <v/>
      </c>
      <c r="I138" s="16">
        <f>IF(C138="WIN",H138*(1-$B$4),-H138*(D138-1))</f>
        <v/>
      </c>
      <c r="J138" s="17">
        <f>J137+I138</f>
        <v/>
      </c>
    </row>
    <row r="139">
      <c r="A139" s="2" t="n">
        <v>131</v>
      </c>
      <c r="B139" s="2" t="inlineStr">
        <is>
          <t>6-1</t>
        </is>
      </c>
      <c r="C139" s="4" t="inlineStr">
        <is>
          <t>WIN</t>
        </is>
      </c>
      <c r="D139" s="3" t="n">
        <v>12.5</v>
      </c>
      <c r="E139" s="15">
        <f>$B$2</f>
        <v/>
      </c>
      <c r="F139" s="16">
        <f>IF(C139="WIN",E139*(1-$B$4),-E139*(D139-1))</f>
        <v/>
      </c>
      <c r="G139" s="17">
        <f>G138+F139</f>
        <v/>
      </c>
      <c r="H139" s="15">
        <f>IF(C138="LOSS",$B$2,MIN(H138*$B$3,$B$2*$B$3^$B$6))</f>
        <v/>
      </c>
      <c r="I139" s="16">
        <f>IF(C139="WIN",H139*(1-$B$4),-H139*(D139-1))</f>
        <v/>
      </c>
      <c r="J139" s="17">
        <f>J138+I139</f>
        <v/>
      </c>
    </row>
    <row r="140">
      <c r="A140" s="2" t="n">
        <v>132</v>
      </c>
      <c r="B140" s="2" t="inlineStr">
        <is>
          <t>3-0</t>
        </is>
      </c>
      <c r="C140" s="4" t="inlineStr">
        <is>
          <t>WIN</t>
        </is>
      </c>
      <c r="D140" s="3" t="n">
        <v>9.4</v>
      </c>
      <c r="E140" s="15">
        <f>$B$2</f>
        <v/>
      </c>
      <c r="F140" s="16">
        <f>IF(C140="WIN",E140*(1-$B$4),-E140*(D140-1))</f>
        <v/>
      </c>
      <c r="G140" s="17">
        <f>G139+F140</f>
        <v/>
      </c>
      <c r="H140" s="15">
        <f>IF(C139="LOSS",$B$2,MIN(H139*$B$3,$B$2*$B$3^$B$6))</f>
        <v/>
      </c>
      <c r="I140" s="16">
        <f>IF(C140="WIN",H140*(1-$B$4),-H140*(D140-1))</f>
        <v/>
      </c>
      <c r="J140" s="17">
        <f>J139+I140</f>
        <v/>
      </c>
    </row>
    <row r="141">
      <c r="A141" s="2" t="n">
        <v>133</v>
      </c>
      <c r="B141" s="2" t="inlineStr">
        <is>
          <t>2-0</t>
        </is>
      </c>
      <c r="C141" s="4" t="inlineStr">
        <is>
          <t>WIN</t>
        </is>
      </c>
      <c r="D141" s="3" t="n">
        <v>9.6</v>
      </c>
      <c r="E141" s="15">
        <f>$B$2</f>
        <v/>
      </c>
      <c r="F141" s="16">
        <f>IF(C141="WIN",E141*(1-$B$4),-E141*(D141-1))</f>
        <v/>
      </c>
      <c r="G141" s="17">
        <f>G140+F141</f>
        <v/>
      </c>
      <c r="H141" s="15">
        <f>IF(C140="LOSS",$B$2,MIN(H140*$B$3,$B$2*$B$3^$B$6))</f>
        <v/>
      </c>
      <c r="I141" s="16">
        <f>IF(C141="WIN",H141*(1-$B$4),-H141*(D141-1))</f>
        <v/>
      </c>
      <c r="J141" s="17">
        <f>J140+I141</f>
        <v/>
      </c>
    </row>
    <row r="142">
      <c r="A142" s="2" t="n">
        <v>134</v>
      </c>
      <c r="B142" s="2" t="inlineStr">
        <is>
          <t>6-0</t>
        </is>
      </c>
      <c r="C142" s="4" t="inlineStr">
        <is>
          <t>WIN</t>
        </is>
      </c>
      <c r="D142" s="3" t="n">
        <v>12</v>
      </c>
      <c r="E142" s="15">
        <f>$B$2</f>
        <v/>
      </c>
      <c r="F142" s="16">
        <f>IF(C142="WIN",E142*(1-$B$4),-E142*(D142-1))</f>
        <v/>
      </c>
      <c r="G142" s="17">
        <f>G141+F142</f>
        <v/>
      </c>
      <c r="H142" s="15">
        <f>IF(C141="LOSS",$B$2,MIN(H141*$B$3,$B$2*$B$3^$B$6))</f>
        <v/>
      </c>
      <c r="I142" s="16">
        <f>IF(C142="WIN",H142*(1-$B$4),-H142*(D142-1))</f>
        <v/>
      </c>
      <c r="J142" s="17">
        <f>J141+I142</f>
        <v/>
      </c>
    </row>
    <row r="143">
      <c r="A143" s="2" t="n">
        <v>135</v>
      </c>
      <c r="B143" s="2" t="inlineStr">
        <is>
          <t>3-1</t>
        </is>
      </c>
      <c r="C143" s="4" t="inlineStr">
        <is>
          <t>WIN</t>
        </is>
      </c>
      <c r="D143" s="3" t="n">
        <v>10</v>
      </c>
      <c r="E143" s="15">
        <f>$B$2</f>
        <v/>
      </c>
      <c r="F143" s="16">
        <f>IF(C143="WIN",E143*(1-$B$4),-E143*(D143-1))</f>
        <v/>
      </c>
      <c r="G143" s="17">
        <f>G142+F143</f>
        <v/>
      </c>
      <c r="H143" s="15">
        <f>IF(C142="LOSS",$B$2,MIN(H142*$B$3,$B$2*$B$3^$B$6))</f>
        <v/>
      </c>
      <c r="I143" s="16">
        <f>IF(C143="WIN",H143*(1-$B$4),-H143*(D143-1))</f>
        <v/>
      </c>
      <c r="J143" s="17">
        <f>J142+I143</f>
        <v/>
      </c>
    </row>
    <row r="144">
      <c r="A144" s="2" t="n">
        <v>136</v>
      </c>
      <c r="B144" s="2" t="inlineStr">
        <is>
          <t>1-0</t>
        </is>
      </c>
      <c r="C144" s="4" t="inlineStr">
        <is>
          <t>WIN</t>
        </is>
      </c>
      <c r="D144" s="3" t="n">
        <v>8.199999999999999</v>
      </c>
      <c r="E144" s="15">
        <f>$B$2</f>
        <v/>
      </c>
      <c r="F144" s="16">
        <f>IF(C144="WIN",E144*(1-$B$4),-E144*(D144-1))</f>
        <v/>
      </c>
      <c r="G144" s="17">
        <f>G143+F144</f>
        <v/>
      </c>
      <c r="H144" s="15">
        <f>IF(C143="LOSS",$B$2,MIN(H143*$B$3,$B$2*$B$3^$B$6))</f>
        <v/>
      </c>
      <c r="I144" s="16">
        <f>IF(C144="WIN",H144*(1-$B$4),-H144*(D144-1))</f>
        <v/>
      </c>
      <c r="J144" s="17">
        <f>J143+I144</f>
        <v/>
      </c>
    </row>
    <row r="145">
      <c r="A145" s="2" t="n">
        <v>137</v>
      </c>
      <c r="B145" s="2" t="inlineStr">
        <is>
          <t>4-0</t>
        </is>
      </c>
      <c r="C145" s="4" t="inlineStr">
        <is>
          <t>WIN</t>
        </is>
      </c>
      <c r="D145" s="3" t="n">
        <v>13.5</v>
      </c>
      <c r="E145" s="15">
        <f>$B$2</f>
        <v/>
      </c>
      <c r="F145" s="16">
        <f>IF(C145="WIN",E145*(1-$B$4),-E145*(D145-1))</f>
        <v/>
      </c>
      <c r="G145" s="17">
        <f>G144+F145</f>
        <v/>
      </c>
      <c r="H145" s="15">
        <f>IF(C144="LOSS",$B$2,MIN(H144*$B$3,$B$2*$B$3^$B$6))</f>
        <v/>
      </c>
      <c r="I145" s="16">
        <f>IF(C145="WIN",H145*(1-$B$4),-H145*(D145-1))</f>
        <v/>
      </c>
      <c r="J145" s="17">
        <f>J144+I145</f>
        <v/>
      </c>
    </row>
    <row r="146">
      <c r="A146" s="2" t="n">
        <v>138</v>
      </c>
      <c r="B146" s="2" t="inlineStr">
        <is>
          <t>2-0</t>
        </is>
      </c>
      <c r="C146" s="4" t="inlineStr">
        <is>
          <t>WIN</t>
        </is>
      </c>
      <c r="D146" s="3" t="n">
        <v>13</v>
      </c>
      <c r="E146" s="15">
        <f>$B$2</f>
        <v/>
      </c>
      <c r="F146" s="16">
        <f>IF(C146="WIN",E146*(1-$B$4),-E146*(D146-1))</f>
        <v/>
      </c>
      <c r="G146" s="17">
        <f>G145+F146</f>
        <v/>
      </c>
      <c r="H146" s="15">
        <f>IF(C145="LOSS",$B$2,MIN(H145*$B$3,$B$2*$B$3^$B$6))</f>
        <v/>
      </c>
      <c r="I146" s="16">
        <f>IF(C146="WIN",H146*(1-$B$4),-H146*(D146-1))</f>
        <v/>
      </c>
      <c r="J146" s="17">
        <f>J145+I146</f>
        <v/>
      </c>
    </row>
    <row r="147">
      <c r="A147" s="2" t="n">
        <v>139</v>
      </c>
      <c r="B147" s="2" t="inlineStr">
        <is>
          <t>3-1</t>
        </is>
      </c>
      <c r="C147" s="4" t="inlineStr">
        <is>
          <t>WIN</t>
        </is>
      </c>
      <c r="D147" s="3" t="n">
        <v>14.5</v>
      </c>
      <c r="E147" s="15">
        <f>$B$2</f>
        <v/>
      </c>
      <c r="F147" s="16">
        <f>IF(C147="WIN",E147*(1-$B$4),-E147*(D147-1))</f>
        <v/>
      </c>
      <c r="G147" s="17">
        <f>G146+F147</f>
        <v/>
      </c>
      <c r="H147" s="15">
        <f>IF(C146="LOSS",$B$2,MIN(H146*$B$3,$B$2*$B$3^$B$6))</f>
        <v/>
      </c>
      <c r="I147" s="16">
        <f>IF(C147="WIN",H147*(1-$B$4),-H147*(D147-1))</f>
        <v/>
      </c>
      <c r="J147" s="17">
        <f>J146+I147</f>
        <v/>
      </c>
    </row>
    <row r="148">
      <c r="A148" s="2" t="n">
        <v>140</v>
      </c>
      <c r="B148" s="2" t="inlineStr">
        <is>
          <t>0-2</t>
        </is>
      </c>
      <c r="C148" s="5" t="inlineStr">
        <is>
          <t>LOSS</t>
        </is>
      </c>
      <c r="D148" s="3" t="n">
        <v>8.4</v>
      </c>
      <c r="E148" s="15">
        <f>$B$2</f>
        <v/>
      </c>
      <c r="F148" s="18">
        <f>IF(C148="WIN",E148*(1-$B$4),-E148*(D148-1))</f>
        <v/>
      </c>
      <c r="G148" s="17">
        <f>G147+F148</f>
        <v/>
      </c>
      <c r="H148" s="15">
        <f>IF(C147="LOSS",$B$2,MIN(H147*$B$3,$B$2*$B$3^$B$6))</f>
        <v/>
      </c>
      <c r="I148" s="18">
        <f>IF(C148="WIN",H148*(1-$B$4),-H148*(D148-1))</f>
        <v/>
      </c>
      <c r="J148" s="17">
        <f>J147+I148</f>
        <v/>
      </c>
    </row>
    <row r="149">
      <c r="A149" s="2" t="n">
        <v>141</v>
      </c>
      <c r="B149" s="2" t="inlineStr">
        <is>
          <t>1-1</t>
        </is>
      </c>
      <c r="C149" s="4" t="inlineStr">
        <is>
          <t>WIN</t>
        </is>
      </c>
      <c r="D149" s="3" t="n">
        <v>11</v>
      </c>
      <c r="E149" s="15">
        <f>$B$2</f>
        <v/>
      </c>
      <c r="F149" s="16">
        <f>IF(C149="WIN",E149*(1-$B$4),-E149*(D149-1))</f>
        <v/>
      </c>
      <c r="G149" s="17">
        <f>G148+F149</f>
        <v/>
      </c>
      <c r="H149" s="15">
        <f>IF(C148="LOSS",$B$2,MIN(H148*$B$3,$B$2*$B$3^$B$6))</f>
        <v/>
      </c>
      <c r="I149" s="16">
        <f>IF(C149="WIN",H149*(1-$B$4),-H149*(D149-1))</f>
        <v/>
      </c>
      <c r="J149" s="17">
        <f>J148+I149</f>
        <v/>
      </c>
    </row>
    <row r="150">
      <c r="A150" s="2" t="n">
        <v>142</v>
      </c>
      <c r="B150" s="2" t="inlineStr">
        <is>
          <t>1-1</t>
        </is>
      </c>
      <c r="C150" s="4" t="inlineStr">
        <is>
          <t>WIN</t>
        </is>
      </c>
      <c r="D150" s="3" t="n">
        <v>12.5</v>
      </c>
      <c r="E150" s="15">
        <f>$B$2</f>
        <v/>
      </c>
      <c r="F150" s="16">
        <f>IF(C150="WIN",E150*(1-$B$4),-E150*(D150-1))</f>
        <v/>
      </c>
      <c r="G150" s="17">
        <f>G149+F150</f>
        <v/>
      </c>
      <c r="H150" s="15">
        <f>IF(C149="LOSS",$B$2,MIN(H149*$B$3,$B$2*$B$3^$B$6))</f>
        <v/>
      </c>
      <c r="I150" s="16">
        <f>IF(C150="WIN",H150*(1-$B$4),-H150*(D150-1))</f>
        <v/>
      </c>
      <c r="J150" s="17">
        <f>J149+I150</f>
        <v/>
      </c>
    </row>
    <row r="151">
      <c r="A151" s="2" t="n">
        <v>143</v>
      </c>
      <c r="B151" s="2" t="inlineStr">
        <is>
          <t>3-1</t>
        </is>
      </c>
      <c r="C151" s="4" t="inlineStr">
        <is>
          <t>WIN</t>
        </is>
      </c>
      <c r="D151" s="3" t="n">
        <v>11.5</v>
      </c>
      <c r="E151" s="15">
        <f>$B$2</f>
        <v/>
      </c>
      <c r="F151" s="16">
        <f>IF(C151="WIN",E151*(1-$B$4),-E151*(D151-1))</f>
        <v/>
      </c>
      <c r="G151" s="17">
        <f>G150+F151</f>
        <v/>
      </c>
      <c r="H151" s="15">
        <f>IF(C150="LOSS",$B$2,MIN(H150*$B$3,$B$2*$B$3^$B$6))</f>
        <v/>
      </c>
      <c r="I151" s="16">
        <f>IF(C151="WIN",H151*(1-$B$4),-H151*(D151-1))</f>
        <v/>
      </c>
      <c r="J151" s="17">
        <f>J150+I151</f>
        <v/>
      </c>
    </row>
    <row r="152">
      <c r="A152" s="2" t="n">
        <v>144</v>
      </c>
      <c r="B152" s="2" t="inlineStr">
        <is>
          <t>1-0</t>
        </is>
      </c>
      <c r="C152" s="4" t="inlineStr">
        <is>
          <t>WIN</t>
        </is>
      </c>
      <c r="D152" s="3" t="n">
        <v>8</v>
      </c>
      <c r="E152" s="15">
        <f>$B$2</f>
        <v/>
      </c>
      <c r="F152" s="16">
        <f>IF(C152="WIN",E152*(1-$B$4),-E152*(D152-1))</f>
        <v/>
      </c>
      <c r="G152" s="17">
        <f>G151+F152</f>
        <v/>
      </c>
      <c r="H152" s="15">
        <f>IF(C151="LOSS",$B$2,MIN(H151*$B$3,$B$2*$B$3^$B$6))</f>
        <v/>
      </c>
      <c r="I152" s="16">
        <f>IF(C152="WIN",H152*(1-$B$4),-H152*(D152-1))</f>
        <v/>
      </c>
      <c r="J152" s="17">
        <f>J151+I152</f>
        <v/>
      </c>
    </row>
    <row r="153">
      <c r="A153" s="2" t="n">
        <v>145</v>
      </c>
      <c r="B153" s="2" t="inlineStr">
        <is>
          <t>6-0</t>
        </is>
      </c>
      <c r="C153" s="4" t="inlineStr">
        <is>
          <t>WIN</t>
        </is>
      </c>
      <c r="D153" s="3" t="n">
        <v>12.5</v>
      </c>
      <c r="E153" s="15">
        <f>$B$2</f>
        <v/>
      </c>
      <c r="F153" s="16">
        <f>IF(C153="WIN",E153*(1-$B$4),-E153*(D153-1))</f>
        <v/>
      </c>
      <c r="G153" s="17">
        <f>G152+F153</f>
        <v/>
      </c>
      <c r="H153" s="15">
        <f>IF(C152="LOSS",$B$2,MIN(H152*$B$3,$B$2*$B$3^$B$6))</f>
        <v/>
      </c>
      <c r="I153" s="16">
        <f>IF(C153="WIN",H153*(1-$B$4),-H153*(D153-1))</f>
        <v/>
      </c>
      <c r="J153" s="17">
        <f>J152+I153</f>
        <v/>
      </c>
    </row>
    <row r="154">
      <c r="A154" s="2" t="n">
        <v>146</v>
      </c>
      <c r="B154" s="2" t="inlineStr">
        <is>
          <t>2-0</t>
        </is>
      </c>
      <c r="C154" s="4" t="inlineStr">
        <is>
          <t>WIN</t>
        </is>
      </c>
      <c r="D154" s="3" t="n">
        <v>10.5</v>
      </c>
      <c r="E154" s="15">
        <f>$B$2</f>
        <v/>
      </c>
      <c r="F154" s="16">
        <f>IF(C154="WIN",E154*(1-$B$4),-E154*(D154-1))</f>
        <v/>
      </c>
      <c r="G154" s="17">
        <f>G153+F154</f>
        <v/>
      </c>
      <c r="H154" s="15">
        <f>IF(C153="LOSS",$B$2,MIN(H153*$B$3,$B$2*$B$3^$B$6))</f>
        <v/>
      </c>
      <c r="I154" s="16">
        <f>IF(C154="WIN",H154*(1-$B$4),-H154*(D154-1))</f>
        <v/>
      </c>
      <c r="J154" s="17">
        <f>J153+I154</f>
        <v/>
      </c>
    </row>
    <row r="155">
      <c r="A155" s="2" t="n">
        <v>147</v>
      </c>
      <c r="B155" s="2" t="inlineStr">
        <is>
          <t>2-2</t>
        </is>
      </c>
      <c r="C155" s="4" t="inlineStr">
        <is>
          <t>WIN</t>
        </is>
      </c>
      <c r="D155" s="3" t="n">
        <v>10</v>
      </c>
      <c r="E155" s="15">
        <f>$B$2</f>
        <v/>
      </c>
      <c r="F155" s="16">
        <f>IF(C155="WIN",E155*(1-$B$4),-E155*(D155-1))</f>
        <v/>
      </c>
      <c r="G155" s="17">
        <f>G154+F155</f>
        <v/>
      </c>
      <c r="H155" s="15">
        <f>IF(C154="LOSS",$B$2,MIN(H154*$B$3,$B$2*$B$3^$B$6))</f>
        <v/>
      </c>
      <c r="I155" s="16">
        <f>IF(C155="WIN",H155*(1-$B$4),-H155*(D155-1))</f>
        <v/>
      </c>
      <c r="J155" s="17">
        <f>J154+I155</f>
        <v/>
      </c>
    </row>
    <row r="156">
      <c r="A156" s="2" t="n">
        <v>148</v>
      </c>
      <c r="B156" s="2" t="inlineStr">
        <is>
          <t>3-0</t>
        </is>
      </c>
      <c r="C156" s="4" t="inlineStr">
        <is>
          <t>WIN</t>
        </is>
      </c>
      <c r="D156" s="3" t="n">
        <v>14</v>
      </c>
      <c r="E156" s="15">
        <f>$B$2</f>
        <v/>
      </c>
      <c r="F156" s="16">
        <f>IF(C156="WIN",E156*(1-$B$4),-E156*(D156-1))</f>
        <v/>
      </c>
      <c r="G156" s="17">
        <f>G155+F156</f>
        <v/>
      </c>
      <c r="H156" s="15">
        <f>IF(C155="LOSS",$B$2,MIN(H155*$B$3,$B$2*$B$3^$B$6))</f>
        <v/>
      </c>
      <c r="I156" s="16">
        <f>IF(C156="WIN",H156*(1-$B$4),-H156*(D156-1))</f>
        <v/>
      </c>
      <c r="J156" s="17">
        <f>J155+I156</f>
        <v/>
      </c>
    </row>
    <row r="157">
      <c r="A157" s="2" t="n">
        <v>149</v>
      </c>
      <c r="B157" s="2" t="inlineStr">
        <is>
          <t>3-1</t>
        </is>
      </c>
      <c r="C157" s="4" t="inlineStr">
        <is>
          <t>WIN</t>
        </is>
      </c>
      <c r="D157" s="3" t="n">
        <v>12</v>
      </c>
      <c r="E157" s="15">
        <f>$B$2</f>
        <v/>
      </c>
      <c r="F157" s="16">
        <f>IF(C157="WIN",E157*(1-$B$4),-E157*(D157-1))</f>
        <v/>
      </c>
      <c r="G157" s="17">
        <f>G156+F157</f>
        <v/>
      </c>
      <c r="H157" s="15">
        <f>IF(C156="LOSS",$B$2,MIN(H156*$B$3,$B$2*$B$3^$B$6))</f>
        <v/>
      </c>
      <c r="I157" s="16">
        <f>IF(C157="WIN",H157*(1-$B$4),-H157*(D157-1))</f>
        <v/>
      </c>
      <c r="J157" s="17">
        <f>J156+I157</f>
        <v/>
      </c>
    </row>
    <row r="158">
      <c r="A158" s="2" t="n">
        <v>150</v>
      </c>
      <c r="B158" s="2" t="inlineStr">
        <is>
          <t>1-1</t>
        </is>
      </c>
      <c r="C158" s="4" t="inlineStr">
        <is>
          <t>WIN</t>
        </is>
      </c>
      <c r="D158" s="3" t="n">
        <v>8.199999999999999</v>
      </c>
      <c r="E158" s="15">
        <f>$B$2</f>
        <v/>
      </c>
      <c r="F158" s="16">
        <f>IF(C158="WIN",E158*(1-$B$4),-E158*(D158-1))</f>
        <v/>
      </c>
      <c r="G158" s="17">
        <f>G157+F158</f>
        <v/>
      </c>
      <c r="H158" s="15">
        <f>IF(C157="LOSS",$B$2,MIN(H157*$B$3,$B$2*$B$3^$B$6))</f>
        <v/>
      </c>
      <c r="I158" s="16">
        <f>IF(C158="WIN",H158*(1-$B$4),-H158*(D158-1))</f>
        <v/>
      </c>
      <c r="J158" s="17">
        <f>J157+I158</f>
        <v/>
      </c>
    </row>
    <row r="159">
      <c r="A159" s="2" t="n">
        <v>151</v>
      </c>
      <c r="B159" s="2" t="inlineStr">
        <is>
          <t>2-2</t>
        </is>
      </c>
      <c r="C159" s="4" t="inlineStr">
        <is>
          <t>WIN</t>
        </is>
      </c>
      <c r="D159" s="3" t="n">
        <v>9</v>
      </c>
      <c r="E159" s="15">
        <f>$B$2</f>
        <v/>
      </c>
      <c r="F159" s="16">
        <f>IF(C159="WIN",E159*(1-$B$4),-E159*(D159-1))</f>
        <v/>
      </c>
      <c r="G159" s="17">
        <f>G158+F159</f>
        <v/>
      </c>
      <c r="H159" s="15">
        <f>IF(C158="LOSS",$B$2,MIN(H158*$B$3,$B$2*$B$3^$B$6))</f>
        <v/>
      </c>
      <c r="I159" s="16">
        <f>IF(C159="WIN",H159*(1-$B$4),-H159*(D159-1))</f>
        <v/>
      </c>
      <c r="J159" s="17">
        <f>J158+I159</f>
        <v/>
      </c>
    </row>
    <row r="160">
      <c r="A160" s="2" t="n">
        <v>152</v>
      </c>
      <c r="B160" s="2" t="inlineStr">
        <is>
          <t>2-1</t>
        </is>
      </c>
      <c r="C160" s="4" t="inlineStr">
        <is>
          <t>WIN</t>
        </is>
      </c>
      <c r="D160" s="3" t="n">
        <v>13</v>
      </c>
      <c r="E160" s="15">
        <f>$B$2</f>
        <v/>
      </c>
      <c r="F160" s="16">
        <f>IF(C160="WIN",E160*(1-$B$4),-E160*(D160-1))</f>
        <v/>
      </c>
      <c r="G160" s="17">
        <f>G159+F160</f>
        <v/>
      </c>
      <c r="H160" s="15">
        <f>IF(C159="LOSS",$B$2,MIN(H159*$B$3,$B$2*$B$3^$B$6))</f>
        <v/>
      </c>
      <c r="I160" s="16">
        <f>IF(C160="WIN",H160*(1-$B$4),-H160*(D160-1))</f>
        <v/>
      </c>
      <c r="J160" s="17">
        <f>J159+I160</f>
        <v/>
      </c>
    </row>
    <row r="161">
      <c r="A161" s="2" t="n">
        <v>153</v>
      </c>
      <c r="B161" s="2" t="inlineStr">
        <is>
          <t>3-2</t>
        </is>
      </c>
      <c r="C161" s="4" t="inlineStr">
        <is>
          <t>WIN</t>
        </is>
      </c>
      <c r="D161" s="3" t="n">
        <v>8.199999999999999</v>
      </c>
      <c r="E161" s="15">
        <f>$B$2</f>
        <v/>
      </c>
      <c r="F161" s="16">
        <f>IF(C161="WIN",E161*(1-$B$4),-E161*(D161-1))</f>
        <v/>
      </c>
      <c r="G161" s="17">
        <f>G160+F161</f>
        <v/>
      </c>
      <c r="H161" s="15">
        <f>IF(C160="LOSS",$B$2,MIN(H160*$B$3,$B$2*$B$3^$B$6))</f>
        <v/>
      </c>
      <c r="I161" s="16">
        <f>IF(C161="WIN",H161*(1-$B$4),-H161*(D161-1))</f>
        <v/>
      </c>
      <c r="J161" s="17">
        <f>J160+I161</f>
        <v/>
      </c>
    </row>
    <row r="162">
      <c r="A162" s="2" t="n">
        <v>154</v>
      </c>
      <c r="B162" s="2" t="inlineStr">
        <is>
          <t>2-1</t>
        </is>
      </c>
      <c r="C162" s="4" t="inlineStr">
        <is>
          <t>WIN</t>
        </is>
      </c>
      <c r="D162" s="3" t="n">
        <v>11</v>
      </c>
      <c r="E162" s="15">
        <f>$B$2</f>
        <v/>
      </c>
      <c r="F162" s="16">
        <f>IF(C162="WIN",E162*(1-$B$4),-E162*(D162-1))</f>
        <v/>
      </c>
      <c r="G162" s="17">
        <f>G161+F162</f>
        <v/>
      </c>
      <c r="H162" s="15">
        <f>IF(C161="LOSS",$B$2,MIN(H161*$B$3,$B$2*$B$3^$B$6))</f>
        <v/>
      </c>
      <c r="I162" s="16">
        <f>IF(C162="WIN",H162*(1-$B$4),-H162*(D162-1))</f>
        <v/>
      </c>
      <c r="J162" s="17">
        <f>J161+I162</f>
        <v/>
      </c>
    </row>
    <row r="163">
      <c r="A163" s="2" t="n">
        <v>155</v>
      </c>
      <c r="B163" s="2" t="inlineStr">
        <is>
          <t>2-0</t>
        </is>
      </c>
      <c r="C163" s="4" t="inlineStr">
        <is>
          <t>WIN</t>
        </is>
      </c>
      <c r="D163" s="3" t="n">
        <v>14.5</v>
      </c>
      <c r="E163" s="15">
        <f>$B$2</f>
        <v/>
      </c>
      <c r="F163" s="16">
        <f>IF(C163="WIN",E163*(1-$B$4),-E163*(D163-1))</f>
        <v/>
      </c>
      <c r="G163" s="17">
        <f>G162+F163</f>
        <v/>
      </c>
      <c r="H163" s="15">
        <f>IF(C162="LOSS",$B$2,MIN(H162*$B$3,$B$2*$B$3^$B$6))</f>
        <v/>
      </c>
      <c r="I163" s="16">
        <f>IF(C163="WIN",H163*(1-$B$4),-H163*(D163-1))</f>
        <v/>
      </c>
      <c r="J163" s="17">
        <f>J162+I163</f>
        <v/>
      </c>
    </row>
    <row r="164">
      <c r="A164" s="2" t="n">
        <v>156</v>
      </c>
      <c r="B164" s="2" t="inlineStr">
        <is>
          <t>1-0</t>
        </is>
      </c>
      <c r="C164" s="4" t="inlineStr">
        <is>
          <t>WIN</t>
        </is>
      </c>
      <c r="D164" s="3" t="n">
        <v>14.5</v>
      </c>
      <c r="E164" s="15">
        <f>$B$2</f>
        <v/>
      </c>
      <c r="F164" s="16">
        <f>IF(C164="WIN",E164*(1-$B$4),-E164*(D164-1))</f>
        <v/>
      </c>
      <c r="G164" s="17">
        <f>G163+F164</f>
        <v/>
      </c>
      <c r="H164" s="15">
        <f>IF(C163="LOSS",$B$2,MIN(H163*$B$3,$B$2*$B$3^$B$6))</f>
        <v/>
      </c>
      <c r="I164" s="16">
        <f>IF(C164="WIN",H164*(1-$B$4),-H164*(D164-1))</f>
        <v/>
      </c>
      <c r="J164" s="17">
        <f>J163+I164</f>
        <v/>
      </c>
    </row>
    <row r="165">
      <c r="A165" s="2" t="n">
        <v>157</v>
      </c>
      <c r="B165" s="2" t="inlineStr">
        <is>
          <t>3-1</t>
        </is>
      </c>
      <c r="C165" s="4" t="inlineStr">
        <is>
          <t>WIN</t>
        </is>
      </c>
      <c r="D165" s="3" t="n">
        <v>9</v>
      </c>
      <c r="E165" s="15">
        <f>$B$2</f>
        <v/>
      </c>
      <c r="F165" s="16">
        <f>IF(C165="WIN",E165*(1-$B$4),-E165*(D165-1))</f>
        <v/>
      </c>
      <c r="G165" s="17">
        <f>G164+F165</f>
        <v/>
      </c>
      <c r="H165" s="15">
        <f>IF(C164="LOSS",$B$2,MIN(H164*$B$3,$B$2*$B$3^$B$6))</f>
        <v/>
      </c>
      <c r="I165" s="16">
        <f>IF(C165="WIN",H165*(1-$B$4),-H165*(D165-1))</f>
        <v/>
      </c>
      <c r="J165" s="17">
        <f>J164+I165</f>
        <v/>
      </c>
    </row>
    <row r="166">
      <c r="A166" s="2" t="n">
        <v>158</v>
      </c>
      <c r="B166" s="2" t="inlineStr">
        <is>
          <t>2-2</t>
        </is>
      </c>
      <c r="C166" s="4" t="inlineStr">
        <is>
          <t>WIN</t>
        </is>
      </c>
      <c r="D166" s="3" t="n">
        <v>8.199999999999999</v>
      </c>
      <c r="E166" s="15">
        <f>$B$2</f>
        <v/>
      </c>
      <c r="F166" s="16">
        <f>IF(C166="WIN",E166*(1-$B$4),-E166*(D166-1))</f>
        <v/>
      </c>
      <c r="G166" s="17">
        <f>G165+F166</f>
        <v/>
      </c>
      <c r="H166" s="15">
        <f>IF(C165="LOSS",$B$2,MIN(H165*$B$3,$B$2*$B$3^$B$6))</f>
        <v/>
      </c>
      <c r="I166" s="16">
        <f>IF(C166="WIN",H166*(1-$B$4),-H166*(D166-1))</f>
        <v/>
      </c>
      <c r="J166" s="17">
        <f>J165+I166</f>
        <v/>
      </c>
    </row>
    <row r="167">
      <c r="A167" s="2" t="n">
        <v>159</v>
      </c>
      <c r="B167" s="2" t="inlineStr">
        <is>
          <t>4-0</t>
        </is>
      </c>
      <c r="C167" s="4" t="inlineStr">
        <is>
          <t>WIN</t>
        </is>
      </c>
      <c r="D167" s="3" t="n">
        <v>8.199999999999999</v>
      </c>
      <c r="E167" s="15">
        <f>$B$2</f>
        <v/>
      </c>
      <c r="F167" s="16">
        <f>IF(C167="WIN",E167*(1-$B$4),-E167*(D167-1))</f>
        <v/>
      </c>
      <c r="G167" s="17">
        <f>G166+F167</f>
        <v/>
      </c>
      <c r="H167" s="15">
        <f>IF(C166="LOSS",$B$2,MIN(H166*$B$3,$B$2*$B$3^$B$6))</f>
        <v/>
      </c>
      <c r="I167" s="16">
        <f>IF(C167="WIN",H167*(1-$B$4),-H167*(D167-1))</f>
        <v/>
      </c>
      <c r="J167" s="17">
        <f>J166+I167</f>
        <v/>
      </c>
    </row>
    <row r="168">
      <c r="A168" s="2" t="n">
        <v>160</v>
      </c>
      <c r="B168" s="2" t="inlineStr">
        <is>
          <t>2-1</t>
        </is>
      </c>
      <c r="C168" s="4" t="inlineStr">
        <is>
          <t>WIN</t>
        </is>
      </c>
      <c r="D168" s="3" t="n">
        <v>8</v>
      </c>
      <c r="E168" s="15">
        <f>$B$2</f>
        <v/>
      </c>
      <c r="F168" s="16">
        <f>IF(C168="WIN",E168*(1-$B$4),-E168*(D168-1))</f>
        <v/>
      </c>
      <c r="G168" s="17">
        <f>G167+F168</f>
        <v/>
      </c>
      <c r="H168" s="15">
        <f>IF(C167="LOSS",$B$2,MIN(H167*$B$3,$B$2*$B$3^$B$6))</f>
        <v/>
      </c>
      <c r="I168" s="16">
        <f>IF(C168="WIN",H168*(1-$B$4),-H168*(D168-1))</f>
        <v/>
      </c>
      <c r="J168" s="17">
        <f>J167+I168</f>
        <v/>
      </c>
    </row>
    <row r="169">
      <c r="A169" s="2" t="n">
        <v>161</v>
      </c>
      <c r="B169" s="2" t="inlineStr">
        <is>
          <t>2-1</t>
        </is>
      </c>
      <c r="C169" s="4" t="inlineStr">
        <is>
          <t>WIN</t>
        </is>
      </c>
      <c r="D169" s="3" t="n">
        <v>9.800000000000001</v>
      </c>
      <c r="E169" s="15">
        <f>$B$2</f>
        <v/>
      </c>
      <c r="F169" s="16">
        <f>IF(C169="WIN",E169*(1-$B$4),-E169*(D169-1))</f>
        <v/>
      </c>
      <c r="G169" s="17">
        <f>G168+F169</f>
        <v/>
      </c>
      <c r="H169" s="15">
        <f>IF(C168="LOSS",$B$2,MIN(H168*$B$3,$B$2*$B$3^$B$6))</f>
        <v/>
      </c>
      <c r="I169" s="16">
        <f>IF(C169="WIN",H169*(1-$B$4),-H169*(D169-1))</f>
        <v/>
      </c>
      <c r="J169" s="17">
        <f>J168+I169</f>
        <v/>
      </c>
    </row>
    <row r="170">
      <c r="A170" s="2" t="n">
        <v>162</v>
      </c>
      <c r="B170" s="2" t="inlineStr">
        <is>
          <t>2-1</t>
        </is>
      </c>
      <c r="C170" s="4" t="inlineStr">
        <is>
          <t>WIN</t>
        </is>
      </c>
      <c r="D170" s="3" t="n">
        <v>9</v>
      </c>
      <c r="E170" s="15">
        <f>$B$2</f>
        <v/>
      </c>
      <c r="F170" s="16">
        <f>IF(C170="WIN",E170*(1-$B$4),-E170*(D170-1))</f>
        <v/>
      </c>
      <c r="G170" s="17">
        <f>G169+F170</f>
        <v/>
      </c>
      <c r="H170" s="15">
        <f>IF(C169="LOSS",$B$2,MIN(H169*$B$3,$B$2*$B$3^$B$6))</f>
        <v/>
      </c>
      <c r="I170" s="16">
        <f>IF(C170="WIN",H170*(1-$B$4),-H170*(D170-1))</f>
        <v/>
      </c>
      <c r="J170" s="17">
        <f>J169+I170</f>
        <v/>
      </c>
    </row>
    <row r="171">
      <c r="A171" s="2" t="n">
        <v>163</v>
      </c>
      <c r="B171" s="2" t="inlineStr">
        <is>
          <t>2-1</t>
        </is>
      </c>
      <c r="C171" s="4" t="inlineStr">
        <is>
          <t>WIN</t>
        </is>
      </c>
      <c r="D171" s="3" t="n">
        <v>14</v>
      </c>
      <c r="E171" s="15">
        <f>$B$2</f>
        <v/>
      </c>
      <c r="F171" s="16">
        <f>IF(C171="WIN",E171*(1-$B$4),-E171*(D171-1))</f>
        <v/>
      </c>
      <c r="G171" s="17">
        <f>G170+F171</f>
        <v/>
      </c>
      <c r="H171" s="15">
        <f>IF(C170="LOSS",$B$2,MIN(H170*$B$3,$B$2*$B$3^$B$6))</f>
        <v/>
      </c>
      <c r="I171" s="16">
        <f>IF(C171="WIN",H171*(1-$B$4),-H171*(D171-1))</f>
        <v/>
      </c>
      <c r="J171" s="17">
        <f>J170+I171</f>
        <v/>
      </c>
    </row>
    <row r="172">
      <c r="A172" s="2" t="n">
        <v>164</v>
      </c>
      <c r="B172" s="2" t="inlineStr">
        <is>
          <t>1-0</t>
        </is>
      </c>
      <c r="C172" s="4" t="inlineStr">
        <is>
          <t>WIN</t>
        </is>
      </c>
      <c r="D172" s="3" t="n">
        <v>10</v>
      </c>
      <c r="E172" s="15">
        <f>$B$2</f>
        <v/>
      </c>
      <c r="F172" s="16">
        <f>IF(C172="WIN",E172*(1-$B$4),-E172*(D172-1))</f>
        <v/>
      </c>
      <c r="G172" s="17">
        <f>G171+F172</f>
        <v/>
      </c>
      <c r="H172" s="15">
        <f>IF(C171="LOSS",$B$2,MIN(H171*$B$3,$B$2*$B$3^$B$6))</f>
        <v/>
      </c>
      <c r="I172" s="16">
        <f>IF(C172="WIN",H172*(1-$B$4),-H172*(D172-1))</f>
        <v/>
      </c>
      <c r="J172" s="17">
        <f>J171+I172</f>
        <v/>
      </c>
    </row>
    <row r="173">
      <c r="A173" s="2" t="n">
        <v>165</v>
      </c>
      <c r="B173" s="2" t="inlineStr">
        <is>
          <t>3-0</t>
        </is>
      </c>
      <c r="C173" s="4" t="inlineStr">
        <is>
          <t>WIN</t>
        </is>
      </c>
      <c r="D173" s="3" t="n">
        <v>10</v>
      </c>
      <c r="E173" s="15">
        <f>$B$2</f>
        <v/>
      </c>
      <c r="F173" s="16">
        <f>IF(C173="WIN",E173*(1-$B$4),-E173*(D173-1))</f>
        <v/>
      </c>
      <c r="G173" s="17">
        <f>G172+F173</f>
        <v/>
      </c>
      <c r="H173" s="15">
        <f>IF(C172="LOSS",$B$2,MIN(H172*$B$3,$B$2*$B$3^$B$6))</f>
        <v/>
      </c>
      <c r="I173" s="16">
        <f>IF(C173="WIN",H173*(1-$B$4),-H173*(D173-1))</f>
        <v/>
      </c>
      <c r="J173" s="17">
        <f>J172+I173</f>
        <v/>
      </c>
    </row>
    <row r="174">
      <c r="A174" s="2" t="n">
        <v>166</v>
      </c>
      <c r="B174" s="2" t="inlineStr">
        <is>
          <t>1-0</t>
        </is>
      </c>
      <c r="C174" s="4" t="inlineStr">
        <is>
          <t>WIN</t>
        </is>
      </c>
      <c r="D174" s="3" t="n">
        <v>8.4</v>
      </c>
      <c r="E174" s="15">
        <f>$B$2</f>
        <v/>
      </c>
      <c r="F174" s="16">
        <f>IF(C174="WIN",E174*(1-$B$4),-E174*(D174-1))</f>
        <v/>
      </c>
      <c r="G174" s="17">
        <f>G173+F174</f>
        <v/>
      </c>
      <c r="H174" s="15">
        <f>IF(C173="LOSS",$B$2,MIN(H173*$B$3,$B$2*$B$3^$B$6))</f>
        <v/>
      </c>
      <c r="I174" s="16">
        <f>IF(C174="WIN",H174*(1-$B$4),-H174*(D174-1))</f>
        <v/>
      </c>
      <c r="J174" s="17">
        <f>J173+I174</f>
        <v/>
      </c>
    </row>
    <row r="175">
      <c r="A175" s="2" t="n">
        <v>167</v>
      </c>
      <c r="B175" s="2" t="inlineStr">
        <is>
          <t>3-1</t>
        </is>
      </c>
      <c r="C175" s="4" t="inlineStr">
        <is>
          <t>WIN</t>
        </is>
      </c>
      <c r="D175" s="3" t="n">
        <v>14</v>
      </c>
      <c r="E175" s="15">
        <f>$B$2</f>
        <v/>
      </c>
      <c r="F175" s="16">
        <f>IF(C175="WIN",E175*(1-$B$4),-E175*(D175-1))</f>
        <v/>
      </c>
      <c r="G175" s="17">
        <f>G174+F175</f>
        <v/>
      </c>
      <c r="H175" s="15">
        <f>IF(C174="LOSS",$B$2,MIN(H174*$B$3,$B$2*$B$3^$B$6))</f>
        <v/>
      </c>
      <c r="I175" s="16">
        <f>IF(C175="WIN",H175*(1-$B$4),-H175*(D175-1))</f>
        <v/>
      </c>
      <c r="J175" s="17">
        <f>J174+I175</f>
        <v/>
      </c>
    </row>
    <row r="176">
      <c r="A176" s="2" t="n">
        <v>168</v>
      </c>
      <c r="B176" s="2" t="inlineStr">
        <is>
          <t>0-0</t>
        </is>
      </c>
      <c r="C176" s="4" t="inlineStr">
        <is>
          <t>WIN</t>
        </is>
      </c>
      <c r="D176" s="3" t="n">
        <v>9.4</v>
      </c>
      <c r="E176" s="15">
        <f>$B$2</f>
        <v/>
      </c>
      <c r="F176" s="16">
        <f>IF(C176="WIN",E176*(1-$B$4),-E176*(D176-1))</f>
        <v/>
      </c>
      <c r="G176" s="17">
        <f>G175+F176</f>
        <v/>
      </c>
      <c r="H176" s="15">
        <f>IF(C175="LOSS",$B$2,MIN(H175*$B$3,$B$2*$B$3^$B$6))</f>
        <v/>
      </c>
      <c r="I176" s="16">
        <f>IF(C176="WIN",H176*(1-$B$4),-H176*(D176-1))</f>
        <v/>
      </c>
      <c r="J176" s="17">
        <f>J175+I176</f>
        <v/>
      </c>
    </row>
    <row r="177">
      <c r="A177" s="2" t="n">
        <v>169</v>
      </c>
      <c r="B177" s="2" t="inlineStr">
        <is>
          <t>3-1</t>
        </is>
      </c>
      <c r="C177" s="4" t="inlineStr">
        <is>
          <t>WIN</t>
        </is>
      </c>
      <c r="D177" s="3" t="n">
        <v>14</v>
      </c>
      <c r="E177" s="15">
        <f>$B$2</f>
        <v/>
      </c>
      <c r="F177" s="16">
        <f>IF(C177="WIN",E177*(1-$B$4),-E177*(D177-1))</f>
        <v/>
      </c>
      <c r="G177" s="17">
        <f>G176+F177</f>
        <v/>
      </c>
      <c r="H177" s="15">
        <f>IF(C176="LOSS",$B$2,MIN(H176*$B$3,$B$2*$B$3^$B$6))</f>
        <v/>
      </c>
      <c r="I177" s="16">
        <f>IF(C177="WIN",H177*(1-$B$4),-H177*(D177-1))</f>
        <v/>
      </c>
      <c r="J177" s="17">
        <f>J176+I177</f>
        <v/>
      </c>
    </row>
    <row r="178">
      <c r="A178" s="2" t="n">
        <v>170</v>
      </c>
      <c r="B178" s="2" t="inlineStr">
        <is>
          <t>2-1</t>
        </is>
      </c>
      <c r="C178" s="4" t="inlineStr">
        <is>
          <t>WIN</t>
        </is>
      </c>
      <c r="D178" s="3" t="n">
        <v>9.199999999999999</v>
      </c>
      <c r="E178" s="15">
        <f>$B$2</f>
        <v/>
      </c>
      <c r="F178" s="16">
        <f>IF(C178="WIN",E178*(1-$B$4),-E178*(D178-1))</f>
        <v/>
      </c>
      <c r="G178" s="17">
        <f>G177+F178</f>
        <v/>
      </c>
      <c r="H178" s="15">
        <f>IF(C177="LOSS",$B$2,MIN(H177*$B$3,$B$2*$B$3^$B$6))</f>
        <v/>
      </c>
      <c r="I178" s="16">
        <f>IF(C178="WIN",H178*(1-$B$4),-H178*(D178-1))</f>
        <v/>
      </c>
      <c r="J178" s="17">
        <f>J177+I178</f>
        <v/>
      </c>
    </row>
    <row r="179">
      <c r="A179" s="2" t="n">
        <v>171</v>
      </c>
      <c r="B179" s="2" t="inlineStr">
        <is>
          <t>1-0</t>
        </is>
      </c>
      <c r="C179" s="4" t="inlineStr">
        <is>
          <t>WIN</t>
        </is>
      </c>
      <c r="D179" s="3" t="n">
        <v>8.800000000000001</v>
      </c>
      <c r="E179" s="15">
        <f>$B$2</f>
        <v/>
      </c>
      <c r="F179" s="16">
        <f>IF(C179="WIN",E179*(1-$B$4),-E179*(D179-1))</f>
        <v/>
      </c>
      <c r="G179" s="17">
        <f>G178+F179</f>
        <v/>
      </c>
      <c r="H179" s="15">
        <f>IF(C178="LOSS",$B$2,MIN(H178*$B$3,$B$2*$B$3^$B$6))</f>
        <v/>
      </c>
      <c r="I179" s="16">
        <f>IF(C179="WIN",H179*(1-$B$4),-H179*(D179-1))</f>
        <v/>
      </c>
      <c r="J179" s="17">
        <f>J178+I179</f>
        <v/>
      </c>
    </row>
    <row r="180">
      <c r="A180" s="2" t="n">
        <v>172</v>
      </c>
      <c r="B180" s="2" t="inlineStr">
        <is>
          <t>1-2</t>
        </is>
      </c>
      <c r="C180" s="5" t="inlineStr">
        <is>
          <t>LOSS</t>
        </is>
      </c>
      <c r="D180" s="3" t="n">
        <v>8.199999999999999</v>
      </c>
      <c r="E180" s="15">
        <f>$B$2</f>
        <v/>
      </c>
      <c r="F180" s="18">
        <f>IF(C180="WIN",E180*(1-$B$4),-E180*(D180-1))</f>
        <v/>
      </c>
      <c r="G180" s="17">
        <f>G179+F180</f>
        <v/>
      </c>
      <c r="H180" s="15">
        <f>IF(C179="LOSS",$B$2,MIN(H179*$B$3,$B$2*$B$3^$B$6))</f>
        <v/>
      </c>
      <c r="I180" s="18">
        <f>IF(C180="WIN",H180*(1-$B$4),-H180*(D180-1))</f>
        <v/>
      </c>
      <c r="J180" s="17">
        <f>J179+I180</f>
        <v/>
      </c>
    </row>
    <row r="181">
      <c r="A181" s="2" t="n">
        <v>173</v>
      </c>
      <c r="B181" s="2" t="inlineStr">
        <is>
          <t>4-0</t>
        </is>
      </c>
      <c r="C181" s="4" t="inlineStr">
        <is>
          <t>WIN</t>
        </is>
      </c>
      <c r="D181" s="3" t="n">
        <v>8</v>
      </c>
      <c r="E181" s="15">
        <f>$B$2</f>
        <v/>
      </c>
      <c r="F181" s="16">
        <f>IF(C181="WIN",E181*(1-$B$4),-E181*(D181-1))</f>
        <v/>
      </c>
      <c r="G181" s="17">
        <f>G180+F181</f>
        <v/>
      </c>
      <c r="H181" s="15">
        <f>IF(C180="LOSS",$B$2,MIN(H180*$B$3,$B$2*$B$3^$B$6))</f>
        <v/>
      </c>
      <c r="I181" s="16">
        <f>IF(C181="WIN",H181*(1-$B$4),-H181*(D181-1))</f>
        <v/>
      </c>
      <c r="J181" s="17">
        <f>J180+I181</f>
        <v/>
      </c>
    </row>
    <row r="182">
      <c r="A182" s="2" t="n">
        <v>174</v>
      </c>
      <c r="B182" s="2" t="inlineStr">
        <is>
          <t>3-1</t>
        </is>
      </c>
      <c r="C182" s="4" t="inlineStr">
        <is>
          <t>WIN</t>
        </is>
      </c>
      <c r="D182" s="3" t="n">
        <v>8.199999999999999</v>
      </c>
      <c r="E182" s="15">
        <f>$B$2</f>
        <v/>
      </c>
      <c r="F182" s="16">
        <f>IF(C182="WIN",E182*(1-$B$4),-E182*(D182-1))</f>
        <v/>
      </c>
      <c r="G182" s="17">
        <f>G181+F182</f>
        <v/>
      </c>
      <c r="H182" s="15">
        <f>IF(C181="LOSS",$B$2,MIN(H181*$B$3,$B$2*$B$3^$B$6))</f>
        <v/>
      </c>
      <c r="I182" s="16">
        <f>IF(C182="WIN",H182*(1-$B$4),-H182*(D182-1))</f>
        <v/>
      </c>
      <c r="J182" s="17">
        <f>J181+I182</f>
        <v/>
      </c>
    </row>
    <row r="183">
      <c r="A183" s="2" t="n">
        <v>175</v>
      </c>
      <c r="B183" s="2" t="inlineStr">
        <is>
          <t>1-0</t>
        </is>
      </c>
      <c r="C183" s="4" t="inlineStr">
        <is>
          <t>WIN</t>
        </is>
      </c>
      <c r="D183" s="3" t="n">
        <v>14.5</v>
      </c>
      <c r="E183" s="15">
        <f>$B$2</f>
        <v/>
      </c>
      <c r="F183" s="16">
        <f>IF(C183="WIN",E183*(1-$B$4),-E183*(D183-1))</f>
        <v/>
      </c>
      <c r="G183" s="17">
        <f>G182+F183</f>
        <v/>
      </c>
      <c r="H183" s="15">
        <f>IF(C182="LOSS",$B$2,MIN(H182*$B$3,$B$2*$B$3^$B$6))</f>
        <v/>
      </c>
      <c r="I183" s="16">
        <f>IF(C183="WIN",H183*(1-$B$4),-H183*(D183-1))</f>
        <v/>
      </c>
      <c r="J183" s="17">
        <f>J182+I183</f>
        <v/>
      </c>
    </row>
    <row r="184">
      <c r="A184" s="2" t="n">
        <v>176</v>
      </c>
      <c r="B184" s="2" t="inlineStr">
        <is>
          <t>0-2</t>
        </is>
      </c>
      <c r="C184" s="5" t="inlineStr">
        <is>
          <t>LOSS</t>
        </is>
      </c>
      <c r="D184" s="3" t="n">
        <v>10.5</v>
      </c>
      <c r="E184" s="15">
        <f>$B$2</f>
        <v/>
      </c>
      <c r="F184" s="18">
        <f>IF(C184="WIN",E184*(1-$B$4),-E184*(D184-1))</f>
        <v/>
      </c>
      <c r="G184" s="17">
        <f>G183+F184</f>
        <v/>
      </c>
      <c r="H184" s="15">
        <f>IF(C183="LOSS",$B$2,MIN(H183*$B$3,$B$2*$B$3^$B$6))</f>
        <v/>
      </c>
      <c r="I184" s="18">
        <f>IF(C184="WIN",H184*(1-$B$4),-H184*(D184-1))</f>
        <v/>
      </c>
      <c r="J184" s="17">
        <f>J183+I184</f>
        <v/>
      </c>
    </row>
    <row r="185">
      <c r="A185" s="2" t="n">
        <v>177</v>
      </c>
      <c r="B185" s="2" t="inlineStr">
        <is>
          <t>2-0</t>
        </is>
      </c>
      <c r="C185" s="4" t="inlineStr">
        <is>
          <t>WIN</t>
        </is>
      </c>
      <c r="D185" s="3" t="n">
        <v>14.5</v>
      </c>
      <c r="E185" s="15">
        <f>$B$2</f>
        <v/>
      </c>
      <c r="F185" s="16">
        <f>IF(C185="WIN",E185*(1-$B$4),-E185*(D185-1))</f>
        <v/>
      </c>
      <c r="G185" s="17">
        <f>G184+F185</f>
        <v/>
      </c>
      <c r="H185" s="15">
        <f>IF(C184="LOSS",$B$2,MIN(H184*$B$3,$B$2*$B$3^$B$6))</f>
        <v/>
      </c>
      <c r="I185" s="16">
        <f>IF(C185="WIN",H185*(1-$B$4),-H185*(D185-1))</f>
        <v/>
      </c>
      <c r="J185" s="17">
        <f>J184+I185</f>
        <v/>
      </c>
    </row>
    <row r="186">
      <c r="A186" s="2" t="n">
        <v>178</v>
      </c>
      <c r="B186" s="2" t="inlineStr">
        <is>
          <t>2-1</t>
        </is>
      </c>
      <c r="C186" s="4" t="inlineStr">
        <is>
          <t>WIN</t>
        </is>
      </c>
      <c r="D186" s="3" t="n">
        <v>12</v>
      </c>
      <c r="E186" s="15">
        <f>$B$2</f>
        <v/>
      </c>
      <c r="F186" s="16">
        <f>IF(C186="WIN",E186*(1-$B$4),-E186*(D186-1))</f>
        <v/>
      </c>
      <c r="G186" s="17">
        <f>G185+F186</f>
        <v/>
      </c>
      <c r="H186" s="15">
        <f>IF(C185="LOSS",$B$2,MIN(H185*$B$3,$B$2*$B$3^$B$6))</f>
        <v/>
      </c>
      <c r="I186" s="16">
        <f>IF(C186="WIN",H186*(1-$B$4),-H186*(D186-1))</f>
        <v/>
      </c>
      <c r="J186" s="17">
        <f>J185+I186</f>
        <v/>
      </c>
    </row>
    <row r="187">
      <c r="A187" s="2" t="n">
        <v>179</v>
      </c>
      <c r="B187" s="2" t="inlineStr">
        <is>
          <t>2-0</t>
        </is>
      </c>
      <c r="C187" s="4" t="inlineStr">
        <is>
          <t>WIN</t>
        </is>
      </c>
      <c r="D187" s="3" t="n">
        <v>8.199999999999999</v>
      </c>
      <c r="E187" s="15">
        <f>$B$2</f>
        <v/>
      </c>
      <c r="F187" s="16">
        <f>IF(C187="WIN",E187*(1-$B$4),-E187*(D187-1))</f>
        <v/>
      </c>
      <c r="G187" s="17">
        <f>G186+F187</f>
        <v/>
      </c>
      <c r="H187" s="15">
        <f>IF(C186="LOSS",$B$2,MIN(H186*$B$3,$B$2*$B$3^$B$6))</f>
        <v/>
      </c>
      <c r="I187" s="16">
        <f>IF(C187="WIN",H187*(1-$B$4),-H187*(D187-1))</f>
        <v/>
      </c>
      <c r="J187" s="17">
        <f>J186+I187</f>
        <v/>
      </c>
    </row>
    <row r="188">
      <c r="A188" s="2" t="n">
        <v>180</v>
      </c>
      <c r="B188" s="2" t="inlineStr">
        <is>
          <t>4-0</t>
        </is>
      </c>
      <c r="C188" s="4" t="inlineStr">
        <is>
          <t>WIN</t>
        </is>
      </c>
      <c r="D188" s="3" t="n">
        <v>12</v>
      </c>
      <c r="E188" s="15">
        <f>$B$2</f>
        <v/>
      </c>
      <c r="F188" s="16">
        <f>IF(C188="WIN",E188*(1-$B$4),-E188*(D188-1))</f>
        <v/>
      </c>
      <c r="G188" s="17">
        <f>G187+F188</f>
        <v/>
      </c>
      <c r="H188" s="15">
        <f>IF(C187="LOSS",$B$2,MIN(H187*$B$3,$B$2*$B$3^$B$6))</f>
        <v/>
      </c>
      <c r="I188" s="16">
        <f>IF(C188="WIN",H188*(1-$B$4),-H188*(D188-1))</f>
        <v/>
      </c>
      <c r="J188" s="17">
        <f>J187+I188</f>
        <v/>
      </c>
    </row>
    <row r="189">
      <c r="A189" s="2" t="n">
        <v>181</v>
      </c>
      <c r="B189" s="2" t="inlineStr">
        <is>
          <t>1-0</t>
        </is>
      </c>
      <c r="C189" s="4" t="inlineStr">
        <is>
          <t>WIN</t>
        </is>
      </c>
      <c r="D189" s="3" t="n">
        <v>8.4</v>
      </c>
      <c r="E189" s="15">
        <f>$B$2</f>
        <v/>
      </c>
      <c r="F189" s="16">
        <f>IF(C189="WIN",E189*(1-$B$4),-E189*(D189-1))</f>
        <v/>
      </c>
      <c r="G189" s="17">
        <f>G188+F189</f>
        <v/>
      </c>
      <c r="H189" s="15">
        <f>IF(C188="LOSS",$B$2,MIN(H188*$B$3,$B$2*$B$3^$B$6))</f>
        <v/>
      </c>
      <c r="I189" s="16">
        <f>IF(C189="WIN",H189*(1-$B$4),-H189*(D189-1))</f>
        <v/>
      </c>
      <c r="J189" s="17">
        <f>J188+I189</f>
        <v/>
      </c>
    </row>
    <row r="190">
      <c r="A190" s="2" t="n">
        <v>182</v>
      </c>
      <c r="B190" s="2" t="inlineStr">
        <is>
          <t>2-0</t>
        </is>
      </c>
      <c r="C190" s="4" t="inlineStr">
        <is>
          <t>WIN</t>
        </is>
      </c>
      <c r="D190" s="3" t="n">
        <v>14.5</v>
      </c>
      <c r="E190" s="15">
        <f>$B$2</f>
        <v/>
      </c>
      <c r="F190" s="16">
        <f>IF(C190="WIN",E190*(1-$B$4),-E190*(D190-1))</f>
        <v/>
      </c>
      <c r="G190" s="17">
        <f>G189+F190</f>
        <v/>
      </c>
      <c r="H190" s="15">
        <f>IF(C189="LOSS",$B$2,MIN(H189*$B$3,$B$2*$B$3^$B$6))</f>
        <v/>
      </c>
      <c r="I190" s="16">
        <f>IF(C190="WIN",H190*(1-$B$4),-H190*(D190-1))</f>
        <v/>
      </c>
      <c r="J190" s="17">
        <f>J189+I190</f>
        <v/>
      </c>
    </row>
    <row r="191">
      <c r="A191" s="2" t="n">
        <v>183</v>
      </c>
      <c r="B191" s="2" t="inlineStr">
        <is>
          <t>3-0</t>
        </is>
      </c>
      <c r="C191" s="4" t="inlineStr">
        <is>
          <t>WIN</t>
        </is>
      </c>
      <c r="D191" s="3" t="n">
        <v>12.5</v>
      </c>
      <c r="E191" s="15">
        <f>$B$2</f>
        <v/>
      </c>
      <c r="F191" s="16">
        <f>IF(C191="WIN",E191*(1-$B$4),-E191*(D191-1))</f>
        <v/>
      </c>
      <c r="G191" s="17">
        <f>G190+F191</f>
        <v/>
      </c>
      <c r="H191" s="15">
        <f>IF(C190="LOSS",$B$2,MIN(H190*$B$3,$B$2*$B$3^$B$6))</f>
        <v/>
      </c>
      <c r="I191" s="16">
        <f>IF(C191="WIN",H191*(1-$B$4),-H191*(D191-1))</f>
        <v/>
      </c>
      <c r="J191" s="17">
        <f>J190+I191</f>
        <v/>
      </c>
    </row>
    <row r="192">
      <c r="A192" s="2" t="n">
        <v>184</v>
      </c>
      <c r="B192" s="2" t="inlineStr">
        <is>
          <t>1-0</t>
        </is>
      </c>
      <c r="C192" s="4" t="inlineStr">
        <is>
          <t>WIN</t>
        </is>
      </c>
      <c r="D192" s="3" t="n">
        <v>10.5</v>
      </c>
      <c r="E192" s="15">
        <f>$B$2</f>
        <v/>
      </c>
      <c r="F192" s="16">
        <f>IF(C192="WIN",E192*(1-$B$4),-E192*(D192-1))</f>
        <v/>
      </c>
      <c r="G192" s="17">
        <f>G191+F192</f>
        <v/>
      </c>
      <c r="H192" s="15">
        <f>IF(C191="LOSS",$B$2,MIN(H191*$B$3,$B$2*$B$3^$B$6))</f>
        <v/>
      </c>
      <c r="I192" s="16">
        <f>IF(C192="WIN",H192*(1-$B$4),-H192*(D192-1))</f>
        <v/>
      </c>
      <c r="J192" s="17">
        <f>J191+I192</f>
        <v/>
      </c>
    </row>
    <row r="193">
      <c r="A193" s="2" t="n">
        <v>185</v>
      </c>
      <c r="B193" s="2" t="inlineStr">
        <is>
          <t>2-1</t>
        </is>
      </c>
      <c r="C193" s="4" t="inlineStr">
        <is>
          <t>WIN</t>
        </is>
      </c>
      <c r="D193" s="3" t="n">
        <v>12</v>
      </c>
      <c r="E193" s="15">
        <f>$B$2</f>
        <v/>
      </c>
      <c r="F193" s="16">
        <f>IF(C193="WIN",E193*(1-$B$4),-E193*(D193-1))</f>
        <v/>
      </c>
      <c r="G193" s="17">
        <f>G192+F193</f>
        <v/>
      </c>
      <c r="H193" s="15">
        <f>IF(C192="LOSS",$B$2,MIN(H192*$B$3,$B$2*$B$3^$B$6))</f>
        <v/>
      </c>
      <c r="I193" s="16">
        <f>IF(C193="WIN",H193*(1-$B$4),-H193*(D193-1))</f>
        <v/>
      </c>
      <c r="J193" s="17">
        <f>J192+I193</f>
        <v/>
      </c>
    </row>
    <row r="194">
      <c r="A194" s="2" t="n">
        <v>186</v>
      </c>
      <c r="B194" s="2" t="inlineStr">
        <is>
          <t>2-1</t>
        </is>
      </c>
      <c r="C194" s="4" t="inlineStr">
        <is>
          <t>WIN</t>
        </is>
      </c>
      <c r="D194" s="3" t="n">
        <v>8.199999999999999</v>
      </c>
      <c r="E194" s="15">
        <f>$B$2</f>
        <v/>
      </c>
      <c r="F194" s="16">
        <f>IF(C194="WIN",E194*(1-$B$4),-E194*(D194-1))</f>
        <v/>
      </c>
      <c r="G194" s="17">
        <f>G193+F194</f>
        <v/>
      </c>
      <c r="H194" s="15">
        <f>IF(C193="LOSS",$B$2,MIN(H193*$B$3,$B$2*$B$3^$B$6))</f>
        <v/>
      </c>
      <c r="I194" s="16">
        <f>IF(C194="WIN",H194*(1-$B$4),-H194*(D194-1))</f>
        <v/>
      </c>
      <c r="J194" s="17">
        <f>J193+I194</f>
        <v/>
      </c>
    </row>
    <row r="195">
      <c r="A195" s="2" t="n">
        <v>187</v>
      </c>
      <c r="B195" s="2" t="inlineStr">
        <is>
          <t>3-1</t>
        </is>
      </c>
      <c r="C195" s="4" t="inlineStr">
        <is>
          <t>WIN</t>
        </is>
      </c>
      <c r="D195" s="3" t="n">
        <v>14</v>
      </c>
      <c r="E195" s="15">
        <f>$B$2</f>
        <v/>
      </c>
      <c r="F195" s="16">
        <f>IF(C195="WIN",E195*(1-$B$4),-E195*(D195-1))</f>
        <v/>
      </c>
      <c r="G195" s="17">
        <f>G194+F195</f>
        <v/>
      </c>
      <c r="H195" s="15">
        <f>IF(C194="LOSS",$B$2,MIN(H194*$B$3,$B$2*$B$3^$B$6))</f>
        <v/>
      </c>
      <c r="I195" s="16">
        <f>IF(C195="WIN",H195*(1-$B$4),-H195*(D195-1))</f>
        <v/>
      </c>
      <c r="J195" s="17">
        <f>J194+I195</f>
        <v/>
      </c>
    </row>
    <row r="196">
      <c r="A196" s="2" t="n">
        <v>188</v>
      </c>
      <c r="B196" s="2" t="inlineStr">
        <is>
          <t>3-0</t>
        </is>
      </c>
      <c r="C196" s="4" t="inlineStr">
        <is>
          <t>WIN</t>
        </is>
      </c>
      <c r="D196" s="3" t="n">
        <v>8.6</v>
      </c>
      <c r="E196" s="15">
        <f>$B$2</f>
        <v/>
      </c>
      <c r="F196" s="16">
        <f>IF(C196="WIN",E196*(1-$B$4),-E196*(D196-1))</f>
        <v/>
      </c>
      <c r="G196" s="17">
        <f>G195+F196</f>
        <v/>
      </c>
      <c r="H196" s="15">
        <f>IF(C195="LOSS",$B$2,MIN(H195*$B$3,$B$2*$B$3^$B$6))</f>
        <v/>
      </c>
      <c r="I196" s="16">
        <f>IF(C196="WIN",H196*(1-$B$4),-H196*(D196-1))</f>
        <v/>
      </c>
      <c r="J196" s="17">
        <f>J195+I196</f>
        <v/>
      </c>
    </row>
    <row r="197">
      <c r="A197" s="2" t="n">
        <v>189</v>
      </c>
      <c r="B197" s="2" t="inlineStr">
        <is>
          <t>1-0</t>
        </is>
      </c>
      <c r="C197" s="4" t="inlineStr">
        <is>
          <t>WIN</t>
        </is>
      </c>
      <c r="D197" s="3" t="n">
        <v>13</v>
      </c>
      <c r="E197" s="15">
        <f>$B$2</f>
        <v/>
      </c>
      <c r="F197" s="16">
        <f>IF(C197="WIN",E197*(1-$B$4),-E197*(D197-1))</f>
        <v/>
      </c>
      <c r="G197" s="17">
        <f>G196+F197</f>
        <v/>
      </c>
      <c r="H197" s="15">
        <f>IF(C196="LOSS",$B$2,MIN(H196*$B$3,$B$2*$B$3^$B$6))</f>
        <v/>
      </c>
      <c r="I197" s="16">
        <f>IF(C197="WIN",H197*(1-$B$4),-H197*(D197-1))</f>
        <v/>
      </c>
      <c r="J197" s="17">
        <f>J196+I197</f>
        <v/>
      </c>
    </row>
    <row r="198">
      <c r="A198" s="2" t="n">
        <v>190</v>
      </c>
      <c r="B198" s="2" t="inlineStr">
        <is>
          <t>1-1</t>
        </is>
      </c>
      <c r="C198" s="4" t="inlineStr">
        <is>
          <t>WIN</t>
        </is>
      </c>
      <c r="D198" s="3" t="n">
        <v>10</v>
      </c>
      <c r="E198" s="15">
        <f>$B$2</f>
        <v/>
      </c>
      <c r="F198" s="16">
        <f>IF(C198="WIN",E198*(1-$B$4),-E198*(D198-1))</f>
        <v/>
      </c>
      <c r="G198" s="17">
        <f>G197+F198</f>
        <v/>
      </c>
      <c r="H198" s="15">
        <f>IF(C197="LOSS",$B$2,MIN(H197*$B$3,$B$2*$B$3^$B$6))</f>
        <v/>
      </c>
      <c r="I198" s="16">
        <f>IF(C198="WIN",H198*(1-$B$4),-H198*(D198-1))</f>
        <v/>
      </c>
      <c r="J198" s="17">
        <f>J197+I198</f>
        <v/>
      </c>
    </row>
    <row r="199">
      <c r="A199" s="2" t="n">
        <v>191</v>
      </c>
      <c r="B199" s="2" t="inlineStr">
        <is>
          <t>1-1</t>
        </is>
      </c>
      <c r="C199" s="4" t="inlineStr">
        <is>
          <t>WIN</t>
        </is>
      </c>
      <c r="D199" s="3" t="n">
        <v>13</v>
      </c>
      <c r="E199" s="15">
        <f>$B$2</f>
        <v/>
      </c>
      <c r="F199" s="16">
        <f>IF(C199="WIN",E199*(1-$B$4),-E199*(D199-1))</f>
        <v/>
      </c>
      <c r="G199" s="17">
        <f>G198+F199</f>
        <v/>
      </c>
      <c r="H199" s="15">
        <f>IF(C198="LOSS",$B$2,MIN(H198*$B$3,$B$2*$B$3^$B$6))</f>
        <v/>
      </c>
      <c r="I199" s="16">
        <f>IF(C199="WIN",H199*(1-$B$4),-H199*(D199-1))</f>
        <v/>
      </c>
      <c r="J199" s="17">
        <f>J198+I199</f>
        <v/>
      </c>
    </row>
    <row r="200">
      <c r="A200" s="2" t="n">
        <v>192</v>
      </c>
      <c r="B200" s="2" t="inlineStr">
        <is>
          <t>1-0</t>
        </is>
      </c>
      <c r="C200" s="4" t="inlineStr">
        <is>
          <t>WIN</t>
        </is>
      </c>
      <c r="D200" s="3" t="n">
        <v>11.5</v>
      </c>
      <c r="E200" s="15">
        <f>$B$2</f>
        <v/>
      </c>
      <c r="F200" s="16">
        <f>IF(C200="WIN",E200*(1-$B$4),-E200*(D200-1))</f>
        <v/>
      </c>
      <c r="G200" s="17">
        <f>G199+F200</f>
        <v/>
      </c>
      <c r="H200" s="15">
        <f>IF(C199="LOSS",$B$2,MIN(H199*$B$3,$B$2*$B$3^$B$6))</f>
        <v/>
      </c>
      <c r="I200" s="16">
        <f>IF(C200="WIN",H200*(1-$B$4),-H200*(D200-1))</f>
        <v/>
      </c>
      <c r="J200" s="17">
        <f>J199+I200</f>
        <v/>
      </c>
    </row>
    <row r="201">
      <c r="A201" s="2" t="n">
        <v>193</v>
      </c>
      <c r="B201" s="2" t="inlineStr">
        <is>
          <t>1-1</t>
        </is>
      </c>
      <c r="C201" s="4" t="inlineStr">
        <is>
          <t>WIN</t>
        </is>
      </c>
      <c r="D201" s="3" t="n">
        <v>9.6</v>
      </c>
      <c r="E201" s="15">
        <f>$B$2</f>
        <v/>
      </c>
      <c r="F201" s="16">
        <f>IF(C201="WIN",E201*(1-$B$4),-E201*(D201-1))</f>
        <v/>
      </c>
      <c r="G201" s="17">
        <f>G200+F201</f>
        <v/>
      </c>
      <c r="H201" s="15">
        <f>IF(C200="LOSS",$B$2,MIN(H200*$B$3,$B$2*$B$3^$B$6))</f>
        <v/>
      </c>
      <c r="I201" s="16">
        <f>IF(C201="WIN",H201*(1-$B$4),-H201*(D201-1))</f>
        <v/>
      </c>
      <c r="J201" s="17">
        <f>J200+I201</f>
        <v/>
      </c>
    </row>
    <row r="202">
      <c r="A202" s="2" t="n">
        <v>194</v>
      </c>
      <c r="B202" s="2" t="inlineStr">
        <is>
          <t>2-0</t>
        </is>
      </c>
      <c r="C202" s="4" t="inlineStr">
        <is>
          <t>WIN</t>
        </is>
      </c>
      <c r="D202" s="3" t="n">
        <v>13</v>
      </c>
      <c r="E202" s="15">
        <f>$B$2</f>
        <v/>
      </c>
      <c r="F202" s="16">
        <f>IF(C202="WIN",E202*(1-$B$4),-E202*(D202-1))</f>
        <v/>
      </c>
      <c r="G202" s="17">
        <f>G201+F202</f>
        <v/>
      </c>
      <c r="H202" s="15">
        <f>IF(C201="LOSS",$B$2,MIN(H201*$B$3,$B$2*$B$3^$B$6))</f>
        <v/>
      </c>
      <c r="I202" s="16">
        <f>IF(C202="WIN",H202*(1-$B$4),-H202*(D202-1))</f>
        <v/>
      </c>
      <c r="J202" s="17">
        <f>J201+I202</f>
        <v/>
      </c>
    </row>
    <row r="203">
      <c r="A203" s="2" t="n">
        <v>195</v>
      </c>
      <c r="B203" s="2" t="inlineStr">
        <is>
          <t>2-2</t>
        </is>
      </c>
      <c r="C203" s="4" t="inlineStr">
        <is>
          <t>WIN</t>
        </is>
      </c>
      <c r="D203" s="3" t="n">
        <v>12</v>
      </c>
      <c r="E203" s="15">
        <f>$B$2</f>
        <v/>
      </c>
      <c r="F203" s="16">
        <f>IF(C203="WIN",E203*(1-$B$4),-E203*(D203-1))</f>
        <v/>
      </c>
      <c r="G203" s="17">
        <f>G202+F203</f>
        <v/>
      </c>
      <c r="H203" s="15">
        <f>IF(C202="LOSS",$B$2,MIN(H202*$B$3,$B$2*$B$3^$B$6))</f>
        <v/>
      </c>
      <c r="I203" s="16">
        <f>IF(C203="WIN",H203*(1-$B$4),-H203*(D203-1))</f>
        <v/>
      </c>
      <c r="J203" s="17">
        <f>J202+I203</f>
        <v/>
      </c>
    </row>
    <row r="204">
      <c r="A204" s="2" t="n">
        <v>196</v>
      </c>
      <c r="B204" s="2" t="inlineStr">
        <is>
          <t>3-0</t>
        </is>
      </c>
      <c r="C204" s="4" t="inlineStr">
        <is>
          <t>WIN</t>
        </is>
      </c>
      <c r="D204" s="3" t="n">
        <v>12</v>
      </c>
      <c r="E204" s="15">
        <f>$B$2</f>
        <v/>
      </c>
      <c r="F204" s="16">
        <f>IF(C204="WIN",E204*(1-$B$4),-E204*(D204-1))</f>
        <v/>
      </c>
      <c r="G204" s="17">
        <f>G203+F204</f>
        <v/>
      </c>
      <c r="H204" s="15">
        <f>IF(C203="LOSS",$B$2,MIN(H203*$B$3,$B$2*$B$3^$B$6))</f>
        <v/>
      </c>
      <c r="I204" s="16">
        <f>IF(C204="WIN",H204*(1-$B$4),-H204*(D204-1))</f>
        <v/>
      </c>
      <c r="J204" s="17">
        <f>J203+I204</f>
        <v/>
      </c>
    </row>
    <row r="205">
      <c r="A205" s="2" t="n">
        <v>197</v>
      </c>
      <c r="B205" s="2" t="inlineStr">
        <is>
          <t>4-2</t>
        </is>
      </c>
      <c r="C205" s="4" t="inlineStr">
        <is>
          <t>WIN</t>
        </is>
      </c>
      <c r="D205" s="3" t="n">
        <v>12</v>
      </c>
      <c r="E205" s="15">
        <f>$B$2</f>
        <v/>
      </c>
      <c r="F205" s="16">
        <f>IF(C205="WIN",E205*(1-$B$4),-E205*(D205-1))</f>
        <v/>
      </c>
      <c r="G205" s="17">
        <f>G204+F205</f>
        <v/>
      </c>
      <c r="H205" s="15">
        <f>IF(C204="LOSS",$B$2,MIN(H204*$B$3,$B$2*$B$3^$B$6))</f>
        <v/>
      </c>
      <c r="I205" s="16">
        <f>IF(C205="WIN",H205*(1-$B$4),-H205*(D205-1))</f>
        <v/>
      </c>
      <c r="J205" s="17">
        <f>J204+I205</f>
        <v/>
      </c>
    </row>
    <row r="206">
      <c r="A206" s="2" t="n">
        <v>198</v>
      </c>
      <c r="B206" s="2" t="inlineStr">
        <is>
          <t>3-0</t>
        </is>
      </c>
      <c r="C206" s="4" t="inlineStr">
        <is>
          <t>WIN</t>
        </is>
      </c>
      <c r="D206" s="3" t="n">
        <v>11</v>
      </c>
      <c r="E206" s="15">
        <f>$B$2</f>
        <v/>
      </c>
      <c r="F206" s="16">
        <f>IF(C206="WIN",E206*(1-$B$4),-E206*(D206-1))</f>
        <v/>
      </c>
      <c r="G206" s="17">
        <f>G205+F206</f>
        <v/>
      </c>
      <c r="H206" s="15">
        <f>IF(C205="LOSS",$B$2,MIN(H205*$B$3,$B$2*$B$3^$B$6))</f>
        <v/>
      </c>
      <c r="I206" s="16">
        <f>IF(C206="WIN",H206*(1-$B$4),-H206*(D206-1))</f>
        <v/>
      </c>
      <c r="J206" s="17">
        <f>J205+I206</f>
        <v/>
      </c>
    </row>
    <row r="207">
      <c r="A207" s="2" t="n">
        <v>199</v>
      </c>
      <c r="B207" s="2" t="inlineStr">
        <is>
          <t>1-1</t>
        </is>
      </c>
      <c r="C207" s="4" t="inlineStr">
        <is>
          <t>WIN</t>
        </is>
      </c>
      <c r="D207" s="3" t="n">
        <v>10</v>
      </c>
      <c r="E207" s="15">
        <f>$B$2</f>
        <v/>
      </c>
      <c r="F207" s="16">
        <f>IF(C207="WIN",E207*(1-$B$4),-E207*(D207-1))</f>
        <v/>
      </c>
      <c r="G207" s="17">
        <f>G206+F207</f>
        <v/>
      </c>
      <c r="H207" s="15">
        <f>IF(C206="LOSS",$B$2,MIN(H206*$B$3,$B$2*$B$3^$B$6))</f>
        <v/>
      </c>
      <c r="I207" s="16">
        <f>IF(C207="WIN",H207*(1-$B$4),-H207*(D207-1))</f>
        <v/>
      </c>
      <c r="J207" s="17">
        <f>J206+I207</f>
        <v/>
      </c>
    </row>
    <row r="208">
      <c r="A208" s="2" t="n">
        <v>200</v>
      </c>
      <c r="B208" s="2" t="inlineStr">
        <is>
          <t>1-3</t>
        </is>
      </c>
      <c r="C208" s="5" t="inlineStr">
        <is>
          <t>LOSS</t>
        </is>
      </c>
      <c r="D208" s="3" t="n">
        <v>8.800000000000001</v>
      </c>
      <c r="E208" s="15">
        <f>$B$2</f>
        <v/>
      </c>
      <c r="F208" s="18">
        <f>IF(C208="WIN",E208*(1-$B$4),-E208*(D208-1))</f>
        <v/>
      </c>
      <c r="G208" s="17">
        <f>G207+F208</f>
        <v/>
      </c>
      <c r="H208" s="15">
        <f>IF(C207="LOSS",$B$2,MIN(H207*$B$3,$B$2*$B$3^$B$6))</f>
        <v/>
      </c>
      <c r="I208" s="18">
        <f>IF(C208="WIN",H208*(1-$B$4),-H208*(D208-1))</f>
        <v/>
      </c>
      <c r="J208" s="17">
        <f>J207+I208</f>
        <v/>
      </c>
    </row>
    <row r="209">
      <c r="A209" s="2" t="n">
        <v>201</v>
      </c>
      <c r="B209" s="2" t="inlineStr">
        <is>
          <t>2-1</t>
        </is>
      </c>
      <c r="C209" s="4" t="inlineStr">
        <is>
          <t>WIN</t>
        </is>
      </c>
      <c r="D209" s="3" t="n">
        <v>13</v>
      </c>
      <c r="E209" s="15">
        <f>$B$2</f>
        <v/>
      </c>
      <c r="F209" s="16">
        <f>IF(C209="WIN",E209*(1-$B$4),-E209*(D209-1))</f>
        <v/>
      </c>
      <c r="G209" s="17">
        <f>G208+F209</f>
        <v/>
      </c>
      <c r="H209" s="15">
        <f>IF(C208="LOSS",$B$2,MIN(H208*$B$3,$B$2*$B$3^$B$6))</f>
        <v/>
      </c>
      <c r="I209" s="16">
        <f>IF(C209="WIN",H209*(1-$B$4),-H209*(D209-1))</f>
        <v/>
      </c>
      <c r="J209" s="17">
        <f>J208+I209</f>
        <v/>
      </c>
    </row>
    <row r="210">
      <c r="A210" s="2" t="n">
        <v>202</v>
      </c>
      <c r="B210" s="2" t="inlineStr">
        <is>
          <t>3-0</t>
        </is>
      </c>
      <c r="C210" s="4" t="inlineStr">
        <is>
          <t>WIN</t>
        </is>
      </c>
      <c r="D210" s="3" t="n">
        <v>11</v>
      </c>
      <c r="E210" s="15">
        <f>$B$2</f>
        <v/>
      </c>
      <c r="F210" s="16">
        <f>IF(C210="WIN",E210*(1-$B$4),-E210*(D210-1))</f>
        <v/>
      </c>
      <c r="G210" s="17">
        <f>G209+F210</f>
        <v/>
      </c>
      <c r="H210" s="15">
        <f>IF(C209="LOSS",$B$2,MIN(H209*$B$3,$B$2*$B$3^$B$6))</f>
        <v/>
      </c>
      <c r="I210" s="16">
        <f>IF(C210="WIN",H210*(1-$B$4),-H210*(D210-1))</f>
        <v/>
      </c>
      <c r="J210" s="17">
        <f>J209+I210</f>
        <v/>
      </c>
    </row>
    <row r="211">
      <c r="A211" s="2" t="n">
        <v>203</v>
      </c>
      <c r="B211" s="2" t="inlineStr">
        <is>
          <t>1-0</t>
        </is>
      </c>
      <c r="C211" s="4" t="inlineStr">
        <is>
          <t>WIN</t>
        </is>
      </c>
      <c r="D211" s="3" t="n">
        <v>10.5</v>
      </c>
      <c r="E211" s="15">
        <f>$B$2</f>
        <v/>
      </c>
      <c r="F211" s="16">
        <f>IF(C211="WIN",E211*(1-$B$4),-E211*(D211-1))</f>
        <v/>
      </c>
      <c r="G211" s="17">
        <f>G210+F211</f>
        <v/>
      </c>
      <c r="H211" s="15">
        <f>IF(C210="LOSS",$B$2,MIN(H210*$B$3,$B$2*$B$3^$B$6))</f>
        <v/>
      </c>
      <c r="I211" s="16">
        <f>IF(C211="WIN",H211*(1-$B$4),-H211*(D211-1))</f>
        <v/>
      </c>
      <c r="J211" s="17">
        <f>J210+I211</f>
        <v/>
      </c>
    </row>
    <row r="212">
      <c r="A212" s="2" t="n">
        <v>204</v>
      </c>
      <c r="B212" s="2" t="inlineStr">
        <is>
          <t>3-1</t>
        </is>
      </c>
      <c r="C212" s="4" t="inlineStr">
        <is>
          <t>WIN</t>
        </is>
      </c>
      <c r="D212" s="3" t="n">
        <v>9.199999999999999</v>
      </c>
      <c r="E212" s="15">
        <f>$B$2</f>
        <v/>
      </c>
      <c r="F212" s="16">
        <f>IF(C212="WIN",E212*(1-$B$4),-E212*(D212-1))</f>
        <v/>
      </c>
      <c r="G212" s="17">
        <f>G211+F212</f>
        <v/>
      </c>
      <c r="H212" s="15">
        <f>IF(C211="LOSS",$B$2,MIN(H211*$B$3,$B$2*$B$3^$B$6))</f>
        <v/>
      </c>
      <c r="I212" s="16">
        <f>IF(C212="WIN",H212*(1-$B$4),-H212*(D212-1))</f>
        <v/>
      </c>
      <c r="J212" s="17">
        <f>J211+I212</f>
        <v/>
      </c>
    </row>
    <row r="213">
      <c r="A213" s="2" t="n">
        <v>205</v>
      </c>
      <c r="B213" s="2" t="inlineStr">
        <is>
          <t>0-0</t>
        </is>
      </c>
      <c r="C213" s="4" t="inlineStr">
        <is>
          <t>WIN</t>
        </is>
      </c>
      <c r="D213" s="3" t="n">
        <v>8</v>
      </c>
      <c r="E213" s="15">
        <f>$B$2</f>
        <v/>
      </c>
      <c r="F213" s="16">
        <f>IF(C213="WIN",E213*(1-$B$4),-E213*(D213-1))</f>
        <v/>
      </c>
      <c r="G213" s="17">
        <f>G212+F213</f>
        <v/>
      </c>
      <c r="H213" s="15">
        <f>IF(C212="LOSS",$B$2,MIN(H212*$B$3,$B$2*$B$3^$B$6))</f>
        <v/>
      </c>
      <c r="I213" s="16">
        <f>IF(C213="WIN",H213*(1-$B$4),-H213*(D213-1))</f>
        <v/>
      </c>
      <c r="J213" s="17">
        <f>J212+I213</f>
        <v/>
      </c>
    </row>
    <row r="214">
      <c r="A214" s="2" t="n">
        <v>206</v>
      </c>
      <c r="B214" s="2" t="inlineStr">
        <is>
          <t>3-0</t>
        </is>
      </c>
      <c r="C214" s="4" t="inlineStr">
        <is>
          <t>WIN</t>
        </is>
      </c>
      <c r="D214" s="3" t="n">
        <v>13</v>
      </c>
      <c r="E214" s="15">
        <f>$B$2</f>
        <v/>
      </c>
      <c r="F214" s="16">
        <f>IF(C214="WIN",E214*(1-$B$4),-E214*(D214-1))</f>
        <v/>
      </c>
      <c r="G214" s="17">
        <f>G213+F214</f>
        <v/>
      </c>
      <c r="H214" s="15">
        <f>IF(C213="LOSS",$B$2,MIN(H213*$B$3,$B$2*$B$3^$B$6))</f>
        <v/>
      </c>
      <c r="I214" s="16">
        <f>IF(C214="WIN",H214*(1-$B$4),-H214*(D214-1))</f>
        <v/>
      </c>
      <c r="J214" s="17">
        <f>J213+I214</f>
        <v/>
      </c>
    </row>
    <row r="215">
      <c r="A215" s="2" t="n">
        <v>207</v>
      </c>
      <c r="B215" s="2" t="inlineStr">
        <is>
          <t>4-0</t>
        </is>
      </c>
      <c r="C215" s="4" t="inlineStr">
        <is>
          <t>WIN</t>
        </is>
      </c>
      <c r="D215" s="3" t="n">
        <v>12.5</v>
      </c>
      <c r="E215" s="15">
        <f>$B$2</f>
        <v/>
      </c>
      <c r="F215" s="16">
        <f>IF(C215="WIN",E215*(1-$B$4),-E215*(D215-1))</f>
        <v/>
      </c>
      <c r="G215" s="17">
        <f>G214+F215</f>
        <v/>
      </c>
      <c r="H215" s="15">
        <f>IF(C214="LOSS",$B$2,MIN(H214*$B$3,$B$2*$B$3^$B$6))</f>
        <v/>
      </c>
      <c r="I215" s="16">
        <f>IF(C215="WIN",H215*(1-$B$4),-H215*(D215-1))</f>
        <v/>
      </c>
      <c r="J215" s="17">
        <f>J214+I215</f>
        <v/>
      </c>
    </row>
    <row r="216">
      <c r="A216" s="2" t="n">
        <v>208</v>
      </c>
      <c r="B216" s="2" t="inlineStr">
        <is>
          <t>3-1</t>
        </is>
      </c>
      <c r="C216" s="4" t="inlineStr">
        <is>
          <t>WIN</t>
        </is>
      </c>
      <c r="D216" s="3" t="n">
        <v>11</v>
      </c>
      <c r="E216" s="15">
        <f>$B$2</f>
        <v/>
      </c>
      <c r="F216" s="16">
        <f>IF(C216="WIN",E216*(1-$B$4),-E216*(D216-1))</f>
        <v/>
      </c>
      <c r="G216" s="17">
        <f>G215+F216</f>
        <v/>
      </c>
      <c r="H216" s="15">
        <f>IF(C215="LOSS",$B$2,MIN(H215*$B$3,$B$2*$B$3^$B$6))</f>
        <v/>
      </c>
      <c r="I216" s="16">
        <f>IF(C216="WIN",H216*(1-$B$4),-H216*(D216-1))</f>
        <v/>
      </c>
      <c r="J216" s="17">
        <f>J215+I216</f>
        <v/>
      </c>
    </row>
    <row r="217">
      <c r="A217" s="2" t="n">
        <v>209</v>
      </c>
      <c r="B217" s="2" t="inlineStr">
        <is>
          <t>3-1</t>
        </is>
      </c>
      <c r="C217" s="4" t="inlineStr">
        <is>
          <t>WIN</t>
        </is>
      </c>
      <c r="D217" s="3" t="n">
        <v>9</v>
      </c>
      <c r="E217" s="15">
        <f>$B$2</f>
        <v/>
      </c>
      <c r="F217" s="16">
        <f>IF(C217="WIN",E217*(1-$B$4),-E217*(D217-1))</f>
        <v/>
      </c>
      <c r="G217" s="17">
        <f>G216+F217</f>
        <v/>
      </c>
      <c r="H217" s="15">
        <f>IF(C216="LOSS",$B$2,MIN(H216*$B$3,$B$2*$B$3^$B$6))</f>
        <v/>
      </c>
      <c r="I217" s="16">
        <f>IF(C217="WIN",H217*(1-$B$4),-H217*(D217-1))</f>
        <v/>
      </c>
      <c r="J217" s="17">
        <f>J216+I217</f>
        <v/>
      </c>
    </row>
    <row r="218">
      <c r="A218" s="2" t="n">
        <v>210</v>
      </c>
      <c r="B218" s="2" t="inlineStr">
        <is>
          <t>4-1</t>
        </is>
      </c>
      <c r="C218" s="4" t="inlineStr">
        <is>
          <t>WIN</t>
        </is>
      </c>
      <c r="D218" s="3" t="n">
        <v>8.199999999999999</v>
      </c>
      <c r="E218" s="15">
        <f>$B$2</f>
        <v/>
      </c>
      <c r="F218" s="16">
        <f>IF(C218="WIN",E218*(1-$B$4),-E218*(D218-1))</f>
        <v/>
      </c>
      <c r="G218" s="17">
        <f>G217+F218</f>
        <v/>
      </c>
      <c r="H218" s="15">
        <f>IF(C217="LOSS",$B$2,MIN(H217*$B$3,$B$2*$B$3^$B$6))</f>
        <v/>
      </c>
      <c r="I218" s="16">
        <f>IF(C218="WIN",H218*(1-$B$4),-H218*(D218-1))</f>
        <v/>
      </c>
      <c r="J218" s="17">
        <f>J217+I218</f>
        <v/>
      </c>
    </row>
    <row r="219">
      <c r="A219" s="2" t="n">
        <v>211</v>
      </c>
      <c r="B219" s="2" t="inlineStr">
        <is>
          <t>4-1</t>
        </is>
      </c>
      <c r="C219" s="4" t="inlineStr">
        <is>
          <t>WIN</t>
        </is>
      </c>
      <c r="D219" s="3" t="n">
        <v>8.199999999999999</v>
      </c>
      <c r="E219" s="15">
        <f>$B$2</f>
        <v/>
      </c>
      <c r="F219" s="16">
        <f>IF(C219="WIN",E219*(1-$B$4),-E219*(D219-1))</f>
        <v/>
      </c>
      <c r="G219" s="17">
        <f>G218+F219</f>
        <v/>
      </c>
      <c r="H219" s="15">
        <f>IF(C218="LOSS",$B$2,MIN(H218*$B$3,$B$2*$B$3^$B$6))</f>
        <v/>
      </c>
      <c r="I219" s="16">
        <f>IF(C219="WIN",H219*(1-$B$4),-H219*(D219-1))</f>
        <v/>
      </c>
      <c r="J219" s="17">
        <f>J218+I219</f>
        <v/>
      </c>
    </row>
    <row r="220">
      <c r="A220" s="2" t="n">
        <v>212</v>
      </c>
      <c r="B220" s="2" t="inlineStr">
        <is>
          <t>1-0</t>
        </is>
      </c>
      <c r="C220" s="4" t="inlineStr">
        <is>
          <t>WIN</t>
        </is>
      </c>
      <c r="D220" s="3" t="n">
        <v>10</v>
      </c>
      <c r="E220" s="15">
        <f>$B$2</f>
        <v/>
      </c>
      <c r="F220" s="16">
        <f>IF(C220="WIN",E220*(1-$B$4),-E220*(D220-1))</f>
        <v/>
      </c>
      <c r="G220" s="17">
        <f>G219+F220</f>
        <v/>
      </c>
      <c r="H220" s="15">
        <f>IF(C219="LOSS",$B$2,MIN(H219*$B$3,$B$2*$B$3^$B$6))</f>
        <v/>
      </c>
      <c r="I220" s="16">
        <f>IF(C220="WIN",H220*(1-$B$4),-H220*(D220-1))</f>
        <v/>
      </c>
      <c r="J220" s="17">
        <f>J219+I220</f>
        <v/>
      </c>
    </row>
    <row r="221">
      <c r="A221" s="2" t="n">
        <v>213</v>
      </c>
      <c r="B221" s="2" t="inlineStr">
        <is>
          <t>0-0</t>
        </is>
      </c>
      <c r="C221" s="4" t="inlineStr">
        <is>
          <t>WIN</t>
        </is>
      </c>
      <c r="D221" s="3" t="n">
        <v>9</v>
      </c>
      <c r="E221" s="15">
        <f>$B$2</f>
        <v/>
      </c>
      <c r="F221" s="16">
        <f>IF(C221="WIN",E221*(1-$B$4),-E221*(D221-1))</f>
        <v/>
      </c>
      <c r="G221" s="17">
        <f>G220+F221</f>
        <v/>
      </c>
      <c r="H221" s="15">
        <f>IF(C220="LOSS",$B$2,MIN(H220*$B$3,$B$2*$B$3^$B$6))</f>
        <v/>
      </c>
      <c r="I221" s="16">
        <f>IF(C221="WIN",H221*(1-$B$4),-H221*(D221-1))</f>
        <v/>
      </c>
      <c r="J221" s="17">
        <f>J220+I221</f>
        <v/>
      </c>
    </row>
    <row r="222">
      <c r="A222" s="2" t="n">
        <v>214</v>
      </c>
      <c r="B222" s="2" t="inlineStr">
        <is>
          <t>3-3</t>
        </is>
      </c>
      <c r="C222" s="4" t="inlineStr">
        <is>
          <t>WIN</t>
        </is>
      </c>
      <c r="D222" s="3" t="n">
        <v>8.4</v>
      </c>
      <c r="E222" s="15">
        <f>$B$2</f>
        <v/>
      </c>
      <c r="F222" s="16">
        <f>IF(C222="WIN",E222*(1-$B$4),-E222*(D222-1))</f>
        <v/>
      </c>
      <c r="G222" s="17">
        <f>G221+F222</f>
        <v/>
      </c>
      <c r="H222" s="15">
        <f>IF(C221="LOSS",$B$2,MIN(H221*$B$3,$B$2*$B$3^$B$6))</f>
        <v/>
      </c>
      <c r="I222" s="16">
        <f>IF(C222="WIN",H222*(1-$B$4),-H222*(D222-1))</f>
        <v/>
      </c>
      <c r="J222" s="17">
        <f>J221+I222</f>
        <v/>
      </c>
    </row>
    <row r="223">
      <c r="A223" s="2" t="n">
        <v>215</v>
      </c>
      <c r="B223" s="2" t="inlineStr">
        <is>
          <t>2-1</t>
        </is>
      </c>
      <c r="C223" s="4" t="inlineStr">
        <is>
          <t>WIN</t>
        </is>
      </c>
      <c r="D223" s="3" t="n">
        <v>13</v>
      </c>
      <c r="E223" s="15">
        <f>$B$2</f>
        <v/>
      </c>
      <c r="F223" s="16">
        <f>IF(C223="WIN",E223*(1-$B$4),-E223*(D223-1))</f>
        <v/>
      </c>
      <c r="G223" s="17">
        <f>G222+F223</f>
        <v/>
      </c>
      <c r="H223" s="15">
        <f>IF(C222="LOSS",$B$2,MIN(H222*$B$3,$B$2*$B$3^$B$6))</f>
        <v/>
      </c>
      <c r="I223" s="16">
        <f>IF(C223="WIN",H223*(1-$B$4),-H223*(D223-1))</f>
        <v/>
      </c>
      <c r="J223" s="17">
        <f>J222+I223</f>
        <v/>
      </c>
    </row>
    <row r="224">
      <c r="A224" s="2" t="n">
        <v>216</v>
      </c>
      <c r="B224" s="2" t="inlineStr">
        <is>
          <t>1-1</t>
        </is>
      </c>
      <c r="C224" s="4" t="inlineStr">
        <is>
          <t>WIN</t>
        </is>
      </c>
      <c r="D224" s="3" t="n">
        <v>12.5</v>
      </c>
      <c r="E224" s="15">
        <f>$B$2</f>
        <v/>
      </c>
      <c r="F224" s="16">
        <f>IF(C224="WIN",E224*(1-$B$4),-E224*(D224-1))</f>
        <v/>
      </c>
      <c r="G224" s="17">
        <f>G223+F224</f>
        <v/>
      </c>
      <c r="H224" s="15">
        <f>IF(C223="LOSS",$B$2,MIN(H223*$B$3,$B$2*$B$3^$B$6))</f>
        <v/>
      </c>
      <c r="I224" s="16">
        <f>IF(C224="WIN",H224*(1-$B$4),-H224*(D224-1))</f>
        <v/>
      </c>
      <c r="J224" s="17">
        <f>J223+I224</f>
        <v/>
      </c>
    </row>
    <row r="225">
      <c r="A225" s="2" t="n">
        <v>217</v>
      </c>
      <c r="B225" s="2" t="inlineStr">
        <is>
          <t>3-1</t>
        </is>
      </c>
      <c r="C225" s="4" t="inlineStr">
        <is>
          <t>WIN</t>
        </is>
      </c>
      <c r="D225" s="3" t="n">
        <v>8.4</v>
      </c>
      <c r="E225" s="15">
        <f>$B$2</f>
        <v/>
      </c>
      <c r="F225" s="16">
        <f>IF(C225="WIN",E225*(1-$B$4),-E225*(D225-1))</f>
        <v/>
      </c>
      <c r="G225" s="17">
        <f>G224+F225</f>
        <v/>
      </c>
      <c r="H225" s="15">
        <f>IF(C224="LOSS",$B$2,MIN(H224*$B$3,$B$2*$B$3^$B$6))</f>
        <v/>
      </c>
      <c r="I225" s="16">
        <f>IF(C225="WIN",H225*(1-$B$4),-H225*(D225-1))</f>
        <v/>
      </c>
      <c r="J225" s="17">
        <f>J224+I225</f>
        <v/>
      </c>
    </row>
    <row r="226">
      <c r="A226" s="2" t="n">
        <v>218</v>
      </c>
      <c r="B226" s="2" t="inlineStr">
        <is>
          <t>3-1</t>
        </is>
      </c>
      <c r="C226" s="4" t="inlineStr">
        <is>
          <t>WIN</t>
        </is>
      </c>
      <c r="D226" s="3" t="n">
        <v>10</v>
      </c>
      <c r="E226" s="15">
        <f>$B$2</f>
        <v/>
      </c>
      <c r="F226" s="16">
        <f>IF(C226="WIN",E226*(1-$B$4),-E226*(D226-1))</f>
        <v/>
      </c>
      <c r="G226" s="17">
        <f>G225+F226</f>
        <v/>
      </c>
      <c r="H226" s="15">
        <f>IF(C225="LOSS",$B$2,MIN(H225*$B$3,$B$2*$B$3^$B$6))</f>
        <v/>
      </c>
      <c r="I226" s="16">
        <f>IF(C226="WIN",H226*(1-$B$4),-H226*(D226-1))</f>
        <v/>
      </c>
      <c r="J226" s="17">
        <f>J225+I226</f>
        <v/>
      </c>
    </row>
    <row r="227">
      <c r="A227" s="2" t="n">
        <v>219</v>
      </c>
      <c r="B227" s="2" t="inlineStr">
        <is>
          <t>4-1</t>
        </is>
      </c>
      <c r="C227" s="4" t="inlineStr">
        <is>
          <t>WIN</t>
        </is>
      </c>
      <c r="D227" s="3" t="n">
        <v>9.199999999999999</v>
      </c>
      <c r="E227" s="15">
        <f>$B$2</f>
        <v/>
      </c>
      <c r="F227" s="16">
        <f>IF(C227="WIN",E227*(1-$B$4),-E227*(D227-1))</f>
        <v/>
      </c>
      <c r="G227" s="17">
        <f>G226+F227</f>
        <v/>
      </c>
      <c r="H227" s="15">
        <f>IF(C226="LOSS",$B$2,MIN(H226*$B$3,$B$2*$B$3^$B$6))</f>
        <v/>
      </c>
      <c r="I227" s="16">
        <f>IF(C227="WIN",H227*(1-$B$4),-H227*(D227-1))</f>
        <v/>
      </c>
      <c r="J227" s="17">
        <f>J226+I227</f>
        <v/>
      </c>
    </row>
    <row r="228">
      <c r="A228" s="2" t="n">
        <v>220</v>
      </c>
      <c r="B228" s="2" t="inlineStr">
        <is>
          <t>2-0</t>
        </is>
      </c>
      <c r="C228" s="4" t="inlineStr">
        <is>
          <t>WIN</t>
        </is>
      </c>
      <c r="D228" s="3" t="n">
        <v>14</v>
      </c>
      <c r="E228" s="15">
        <f>$B$2</f>
        <v/>
      </c>
      <c r="F228" s="16">
        <f>IF(C228="WIN",E228*(1-$B$4),-E228*(D228-1))</f>
        <v/>
      </c>
      <c r="G228" s="17">
        <f>G227+F228</f>
        <v/>
      </c>
      <c r="H228" s="15">
        <f>IF(C227="LOSS",$B$2,MIN(H227*$B$3,$B$2*$B$3^$B$6))</f>
        <v/>
      </c>
      <c r="I228" s="16">
        <f>IF(C228="WIN",H228*(1-$B$4),-H228*(D228-1))</f>
        <v/>
      </c>
      <c r="J228" s="17">
        <f>J227+I228</f>
        <v/>
      </c>
    </row>
    <row r="229">
      <c r="A229" s="2" t="n">
        <v>221</v>
      </c>
      <c r="B229" s="2" t="inlineStr">
        <is>
          <t>0-1</t>
        </is>
      </c>
      <c r="C229" s="5" t="inlineStr">
        <is>
          <t>LOSS</t>
        </is>
      </c>
      <c r="D229" s="3" t="n">
        <v>12</v>
      </c>
      <c r="E229" s="15">
        <f>$B$2</f>
        <v/>
      </c>
      <c r="F229" s="18">
        <f>IF(C229="WIN",E229*(1-$B$4),-E229*(D229-1))</f>
        <v/>
      </c>
      <c r="G229" s="17">
        <f>G228+F229</f>
        <v/>
      </c>
      <c r="H229" s="15">
        <f>IF(C228="LOSS",$B$2,MIN(H228*$B$3,$B$2*$B$3^$B$6))</f>
        <v/>
      </c>
      <c r="I229" s="18">
        <f>IF(C229="WIN",H229*(1-$B$4),-H229*(D229-1))</f>
        <v/>
      </c>
      <c r="J229" s="17">
        <f>J228+I229</f>
        <v/>
      </c>
    </row>
    <row r="230">
      <c r="A230" s="2" t="n">
        <v>222</v>
      </c>
      <c r="B230" s="2" t="inlineStr">
        <is>
          <t>4-1</t>
        </is>
      </c>
      <c r="C230" s="4" t="inlineStr">
        <is>
          <t>WIN</t>
        </is>
      </c>
      <c r="D230" s="3" t="n">
        <v>9.4</v>
      </c>
      <c r="E230" s="15">
        <f>$B$2</f>
        <v/>
      </c>
      <c r="F230" s="16">
        <f>IF(C230="WIN",E230*(1-$B$4),-E230*(D230-1))</f>
        <v/>
      </c>
      <c r="G230" s="17">
        <f>G229+F230</f>
        <v/>
      </c>
      <c r="H230" s="15">
        <f>IF(C229="LOSS",$B$2,MIN(H229*$B$3,$B$2*$B$3^$B$6))</f>
        <v/>
      </c>
      <c r="I230" s="16">
        <f>IF(C230="WIN",H230*(1-$B$4),-H230*(D230-1))</f>
        <v/>
      </c>
      <c r="J230" s="17">
        <f>J229+I230</f>
        <v/>
      </c>
    </row>
    <row r="231">
      <c r="A231" s="2" t="n">
        <v>223</v>
      </c>
      <c r="B231" s="2" t="inlineStr">
        <is>
          <t>2-1</t>
        </is>
      </c>
      <c r="C231" s="4" t="inlineStr">
        <is>
          <t>WIN</t>
        </is>
      </c>
      <c r="D231" s="3" t="n">
        <v>14</v>
      </c>
      <c r="E231" s="15">
        <f>$B$2</f>
        <v/>
      </c>
      <c r="F231" s="16">
        <f>IF(C231="WIN",E231*(1-$B$4),-E231*(D231-1))</f>
        <v/>
      </c>
      <c r="G231" s="17">
        <f>G230+F231</f>
        <v/>
      </c>
      <c r="H231" s="15">
        <f>IF(C230="LOSS",$B$2,MIN(H230*$B$3,$B$2*$B$3^$B$6))</f>
        <v/>
      </c>
      <c r="I231" s="16">
        <f>IF(C231="WIN",H231*(1-$B$4),-H231*(D231-1))</f>
        <v/>
      </c>
      <c r="J231" s="17">
        <f>J230+I231</f>
        <v/>
      </c>
    </row>
    <row r="232">
      <c r="A232" s="2" t="n">
        <v>224</v>
      </c>
      <c r="B232" s="2" t="inlineStr">
        <is>
          <t>2-1</t>
        </is>
      </c>
      <c r="C232" s="4" t="inlineStr">
        <is>
          <t>WIN</t>
        </is>
      </c>
      <c r="D232" s="3" t="n">
        <v>9</v>
      </c>
      <c r="E232" s="15">
        <f>$B$2</f>
        <v/>
      </c>
      <c r="F232" s="16">
        <f>IF(C232="WIN",E232*(1-$B$4),-E232*(D232-1))</f>
        <v/>
      </c>
      <c r="G232" s="17">
        <f>G231+F232</f>
        <v/>
      </c>
      <c r="H232" s="15">
        <f>IF(C231="LOSS",$B$2,MIN(H231*$B$3,$B$2*$B$3^$B$6))</f>
        <v/>
      </c>
      <c r="I232" s="16">
        <f>IF(C232="WIN",H232*(1-$B$4),-H232*(D232-1))</f>
        <v/>
      </c>
      <c r="J232" s="17">
        <f>J231+I232</f>
        <v/>
      </c>
    </row>
    <row r="233">
      <c r="A233" s="2" t="n">
        <v>225</v>
      </c>
      <c r="B233" s="2" t="inlineStr">
        <is>
          <t>3-0</t>
        </is>
      </c>
      <c r="C233" s="4" t="inlineStr">
        <is>
          <t>WIN</t>
        </is>
      </c>
      <c r="D233" s="3" t="n">
        <v>8.4</v>
      </c>
      <c r="E233" s="15">
        <f>$B$2</f>
        <v/>
      </c>
      <c r="F233" s="16">
        <f>IF(C233="WIN",E233*(1-$B$4),-E233*(D233-1))</f>
        <v/>
      </c>
      <c r="G233" s="17">
        <f>G232+F233</f>
        <v/>
      </c>
      <c r="H233" s="15">
        <f>IF(C232="LOSS",$B$2,MIN(H232*$B$3,$B$2*$B$3^$B$6))</f>
        <v/>
      </c>
      <c r="I233" s="16">
        <f>IF(C233="WIN",H233*(1-$B$4),-H233*(D233-1))</f>
        <v/>
      </c>
      <c r="J233" s="17">
        <f>J232+I233</f>
        <v/>
      </c>
    </row>
    <row r="234">
      <c r="A234" s="2" t="n">
        <v>226</v>
      </c>
      <c r="B234" s="2" t="inlineStr">
        <is>
          <t>0-1</t>
        </is>
      </c>
      <c r="C234" s="5" t="inlineStr">
        <is>
          <t>LOSS</t>
        </is>
      </c>
      <c r="D234" s="3" t="n">
        <v>9.199999999999999</v>
      </c>
      <c r="E234" s="15">
        <f>$B$2</f>
        <v/>
      </c>
      <c r="F234" s="18">
        <f>IF(C234="WIN",E234*(1-$B$4),-E234*(D234-1))</f>
        <v/>
      </c>
      <c r="G234" s="17">
        <f>G233+F234</f>
        <v/>
      </c>
      <c r="H234" s="15">
        <f>IF(C233="LOSS",$B$2,MIN(H233*$B$3,$B$2*$B$3^$B$6))</f>
        <v/>
      </c>
      <c r="I234" s="18">
        <f>IF(C234="WIN",H234*(1-$B$4),-H234*(D234-1))</f>
        <v/>
      </c>
      <c r="J234" s="17">
        <f>J233+I234</f>
        <v/>
      </c>
    </row>
    <row r="235">
      <c r="A235" s="2" t="n">
        <v>227</v>
      </c>
      <c r="B235" s="2" t="inlineStr">
        <is>
          <t>4-1</t>
        </is>
      </c>
      <c r="C235" s="4" t="inlineStr">
        <is>
          <t>WIN</t>
        </is>
      </c>
      <c r="D235" s="3" t="n">
        <v>9.4</v>
      </c>
      <c r="E235" s="15">
        <f>$B$2</f>
        <v/>
      </c>
      <c r="F235" s="16">
        <f>IF(C235="WIN",E235*(1-$B$4),-E235*(D235-1))</f>
        <v/>
      </c>
      <c r="G235" s="17">
        <f>G234+F235</f>
        <v/>
      </c>
      <c r="H235" s="15">
        <f>IF(C234="LOSS",$B$2,MIN(H234*$B$3,$B$2*$B$3^$B$6))</f>
        <v/>
      </c>
      <c r="I235" s="16">
        <f>IF(C235="WIN",H235*(1-$B$4),-H235*(D235-1))</f>
        <v/>
      </c>
      <c r="J235" s="17">
        <f>J234+I235</f>
        <v/>
      </c>
    </row>
    <row r="236">
      <c r="A236" s="2" t="n">
        <v>228</v>
      </c>
      <c r="B236" s="2" t="inlineStr">
        <is>
          <t>5-2</t>
        </is>
      </c>
      <c r="C236" s="4" t="inlineStr">
        <is>
          <t>WIN</t>
        </is>
      </c>
      <c r="D236" s="3" t="n">
        <v>11</v>
      </c>
      <c r="E236" s="15">
        <f>$B$2</f>
        <v/>
      </c>
      <c r="F236" s="16">
        <f>IF(C236="WIN",E236*(1-$B$4),-E236*(D236-1))</f>
        <v/>
      </c>
      <c r="G236" s="17">
        <f>G235+F236</f>
        <v/>
      </c>
      <c r="H236" s="15">
        <f>IF(C235="LOSS",$B$2,MIN(H235*$B$3,$B$2*$B$3^$B$6))</f>
        <v/>
      </c>
      <c r="I236" s="16">
        <f>IF(C236="WIN",H236*(1-$B$4),-H236*(D236-1))</f>
        <v/>
      </c>
      <c r="J236" s="17">
        <f>J235+I236</f>
        <v/>
      </c>
    </row>
    <row r="237">
      <c r="A237" s="2" t="n">
        <v>229</v>
      </c>
      <c r="B237" s="2" t="inlineStr">
        <is>
          <t>2-1</t>
        </is>
      </c>
      <c r="C237" s="4" t="inlineStr">
        <is>
          <t>WIN</t>
        </is>
      </c>
      <c r="D237" s="3" t="n">
        <v>8</v>
      </c>
      <c r="E237" s="15">
        <f>$B$2</f>
        <v/>
      </c>
      <c r="F237" s="16">
        <f>IF(C237="WIN",E237*(1-$B$4),-E237*(D237-1))</f>
        <v/>
      </c>
      <c r="G237" s="17">
        <f>G236+F237</f>
        <v/>
      </c>
      <c r="H237" s="15">
        <f>IF(C236="LOSS",$B$2,MIN(H236*$B$3,$B$2*$B$3^$B$6))</f>
        <v/>
      </c>
      <c r="I237" s="16">
        <f>IF(C237="WIN",H237*(1-$B$4),-H237*(D237-1))</f>
        <v/>
      </c>
      <c r="J237" s="17">
        <f>J236+I237</f>
        <v/>
      </c>
    </row>
    <row r="238">
      <c r="A238" s="2" t="n">
        <v>230</v>
      </c>
      <c r="B238" s="2" t="inlineStr">
        <is>
          <t>4-1</t>
        </is>
      </c>
      <c r="C238" s="4" t="inlineStr">
        <is>
          <t>WIN</t>
        </is>
      </c>
      <c r="D238" s="3" t="n">
        <v>12.5</v>
      </c>
      <c r="E238" s="15">
        <f>$B$2</f>
        <v/>
      </c>
      <c r="F238" s="16">
        <f>IF(C238="WIN",E238*(1-$B$4),-E238*(D238-1))</f>
        <v/>
      </c>
      <c r="G238" s="17">
        <f>G237+F238</f>
        <v/>
      </c>
      <c r="H238" s="15">
        <f>IF(C237="LOSS",$B$2,MIN(H237*$B$3,$B$2*$B$3^$B$6))</f>
        <v/>
      </c>
      <c r="I238" s="16">
        <f>IF(C238="WIN",H238*(1-$B$4),-H238*(D238-1))</f>
        <v/>
      </c>
      <c r="J238" s="17">
        <f>J237+I238</f>
        <v/>
      </c>
    </row>
    <row r="239">
      <c r="A239" s="2" t="n">
        <v>231</v>
      </c>
      <c r="B239" s="2" t="inlineStr">
        <is>
          <t>2-1</t>
        </is>
      </c>
      <c r="C239" s="4" t="inlineStr">
        <is>
          <t>WIN</t>
        </is>
      </c>
      <c r="D239" s="3" t="n">
        <v>10.5</v>
      </c>
      <c r="E239" s="15">
        <f>$B$2</f>
        <v/>
      </c>
      <c r="F239" s="16">
        <f>IF(C239="WIN",E239*(1-$B$4),-E239*(D239-1))</f>
        <v/>
      </c>
      <c r="G239" s="17">
        <f>G238+F239</f>
        <v/>
      </c>
      <c r="H239" s="15">
        <f>IF(C238="LOSS",$B$2,MIN(H238*$B$3,$B$2*$B$3^$B$6))</f>
        <v/>
      </c>
      <c r="I239" s="16">
        <f>IF(C239="WIN",H239*(1-$B$4),-H239*(D239-1))</f>
        <v/>
      </c>
      <c r="J239" s="17">
        <f>J238+I239</f>
        <v/>
      </c>
    </row>
    <row r="240">
      <c r="A240" s="2" t="n">
        <v>232</v>
      </c>
      <c r="B240" s="2" t="inlineStr">
        <is>
          <t>3-0</t>
        </is>
      </c>
      <c r="C240" s="4" t="inlineStr">
        <is>
          <t>WIN</t>
        </is>
      </c>
      <c r="D240" s="3" t="n">
        <v>13</v>
      </c>
      <c r="E240" s="15">
        <f>$B$2</f>
        <v/>
      </c>
      <c r="F240" s="16">
        <f>IF(C240="WIN",E240*(1-$B$4),-E240*(D240-1))</f>
        <v/>
      </c>
      <c r="G240" s="17">
        <f>G239+F240</f>
        <v/>
      </c>
      <c r="H240" s="15">
        <f>IF(C239="LOSS",$B$2,MIN(H239*$B$3,$B$2*$B$3^$B$6))</f>
        <v/>
      </c>
      <c r="I240" s="16">
        <f>IF(C240="WIN",H240*(1-$B$4),-H240*(D240-1))</f>
        <v/>
      </c>
      <c r="J240" s="17">
        <f>J239+I240</f>
        <v/>
      </c>
    </row>
    <row r="241">
      <c r="A241" s="2" t="n">
        <v>233</v>
      </c>
      <c r="B241" s="2" t="inlineStr">
        <is>
          <t>3-1</t>
        </is>
      </c>
      <c r="C241" s="4" t="inlineStr">
        <is>
          <t>WIN</t>
        </is>
      </c>
      <c r="D241" s="3" t="n">
        <v>10.5</v>
      </c>
      <c r="E241" s="15">
        <f>$B$2</f>
        <v/>
      </c>
      <c r="F241" s="16">
        <f>IF(C241="WIN",E241*(1-$B$4),-E241*(D241-1))</f>
        <v/>
      </c>
      <c r="G241" s="17">
        <f>G240+F241</f>
        <v/>
      </c>
      <c r="H241" s="15">
        <f>IF(C240="LOSS",$B$2,MIN(H240*$B$3,$B$2*$B$3^$B$6))</f>
        <v/>
      </c>
      <c r="I241" s="16">
        <f>IF(C241="WIN",H241*(1-$B$4),-H241*(D241-1))</f>
        <v/>
      </c>
      <c r="J241" s="17">
        <f>J240+I241</f>
        <v/>
      </c>
    </row>
    <row r="242">
      <c r="A242" s="2" t="n">
        <v>234</v>
      </c>
      <c r="B242" s="2" t="inlineStr">
        <is>
          <t>1-0</t>
        </is>
      </c>
      <c r="C242" s="4" t="inlineStr">
        <is>
          <t>WIN</t>
        </is>
      </c>
      <c r="D242" s="3" t="n">
        <v>12</v>
      </c>
      <c r="E242" s="15">
        <f>$B$2</f>
        <v/>
      </c>
      <c r="F242" s="16">
        <f>IF(C242="WIN",E242*(1-$B$4),-E242*(D242-1))</f>
        <v/>
      </c>
      <c r="G242" s="17">
        <f>G241+F242</f>
        <v/>
      </c>
      <c r="H242" s="15">
        <f>IF(C241="LOSS",$B$2,MIN(H241*$B$3,$B$2*$B$3^$B$6))</f>
        <v/>
      </c>
      <c r="I242" s="16">
        <f>IF(C242="WIN",H242*(1-$B$4),-H242*(D242-1))</f>
        <v/>
      </c>
      <c r="J242" s="17">
        <f>J241+I242</f>
        <v/>
      </c>
    </row>
    <row r="243">
      <c r="A243" s="2" t="n">
        <v>235</v>
      </c>
      <c r="B243" s="2" t="inlineStr">
        <is>
          <t>4-2</t>
        </is>
      </c>
      <c r="C243" s="4" t="inlineStr">
        <is>
          <t>WIN</t>
        </is>
      </c>
      <c r="D243" s="3" t="n">
        <v>12.5</v>
      </c>
      <c r="E243" s="15">
        <f>$B$2</f>
        <v/>
      </c>
      <c r="F243" s="16">
        <f>IF(C243="WIN",E243*(1-$B$4),-E243*(D243-1))</f>
        <v/>
      </c>
      <c r="G243" s="17">
        <f>G242+F243</f>
        <v/>
      </c>
      <c r="H243" s="15">
        <f>IF(C242="LOSS",$B$2,MIN(H242*$B$3,$B$2*$B$3^$B$6))</f>
        <v/>
      </c>
      <c r="I243" s="16">
        <f>IF(C243="WIN",H243*(1-$B$4),-H243*(D243-1))</f>
        <v/>
      </c>
      <c r="J243" s="17">
        <f>J242+I243</f>
        <v/>
      </c>
    </row>
    <row r="244">
      <c r="A244" s="2" t="n">
        <v>236</v>
      </c>
      <c r="B244" s="2" t="inlineStr">
        <is>
          <t>2-0</t>
        </is>
      </c>
      <c r="C244" s="4" t="inlineStr">
        <is>
          <t>WIN</t>
        </is>
      </c>
      <c r="D244" s="3" t="n">
        <v>11.5</v>
      </c>
      <c r="E244" s="15">
        <f>$B$2</f>
        <v/>
      </c>
      <c r="F244" s="16">
        <f>IF(C244="WIN",E244*(1-$B$4),-E244*(D244-1))</f>
        <v/>
      </c>
      <c r="G244" s="17">
        <f>G243+F244</f>
        <v/>
      </c>
      <c r="H244" s="15">
        <f>IF(C243="LOSS",$B$2,MIN(H243*$B$3,$B$2*$B$3^$B$6))</f>
        <v/>
      </c>
      <c r="I244" s="16">
        <f>IF(C244="WIN",H244*(1-$B$4),-H244*(D244-1))</f>
        <v/>
      </c>
      <c r="J244" s="17">
        <f>J243+I244</f>
        <v/>
      </c>
    </row>
    <row r="245">
      <c r="A245" s="2" t="n">
        <v>237</v>
      </c>
      <c r="B245" s="2" t="inlineStr">
        <is>
          <t>2-2</t>
        </is>
      </c>
      <c r="C245" s="4" t="inlineStr">
        <is>
          <t>WIN</t>
        </is>
      </c>
      <c r="D245" s="3" t="n">
        <v>10.5</v>
      </c>
      <c r="E245" s="15">
        <f>$B$2</f>
        <v/>
      </c>
      <c r="F245" s="16">
        <f>IF(C245="WIN",E245*(1-$B$4),-E245*(D245-1))</f>
        <v/>
      </c>
      <c r="G245" s="17">
        <f>G244+F245</f>
        <v/>
      </c>
      <c r="H245" s="15">
        <f>IF(C244="LOSS",$B$2,MIN(H244*$B$3,$B$2*$B$3^$B$6))</f>
        <v/>
      </c>
      <c r="I245" s="16">
        <f>IF(C245="WIN",H245*(1-$B$4),-H245*(D245-1))</f>
        <v/>
      </c>
      <c r="J245" s="17">
        <f>J244+I245</f>
        <v/>
      </c>
    </row>
    <row r="246">
      <c r="A246" s="2" t="n">
        <v>238</v>
      </c>
      <c r="B246" s="2" t="inlineStr">
        <is>
          <t>2-0</t>
        </is>
      </c>
      <c r="C246" s="4" t="inlineStr">
        <is>
          <t>WIN</t>
        </is>
      </c>
      <c r="D246" s="3" t="n">
        <v>9.199999999999999</v>
      </c>
      <c r="E246" s="15">
        <f>$B$2</f>
        <v/>
      </c>
      <c r="F246" s="16">
        <f>IF(C246="WIN",E246*(1-$B$4),-E246*(D246-1))</f>
        <v/>
      </c>
      <c r="G246" s="17">
        <f>G245+F246</f>
        <v/>
      </c>
      <c r="H246" s="15">
        <f>IF(C245="LOSS",$B$2,MIN(H245*$B$3,$B$2*$B$3^$B$6))</f>
        <v/>
      </c>
      <c r="I246" s="16">
        <f>IF(C246="WIN",H246*(1-$B$4),-H246*(D246-1))</f>
        <v/>
      </c>
      <c r="J246" s="17">
        <f>J245+I246</f>
        <v/>
      </c>
    </row>
    <row r="247">
      <c r="A247" s="2" t="n">
        <v>239</v>
      </c>
      <c r="B247" s="2" t="inlineStr">
        <is>
          <t>4-2</t>
        </is>
      </c>
      <c r="C247" s="4" t="inlineStr">
        <is>
          <t>WIN</t>
        </is>
      </c>
      <c r="D247" s="3" t="n">
        <v>10.5</v>
      </c>
      <c r="E247" s="15">
        <f>$B$2</f>
        <v/>
      </c>
      <c r="F247" s="16">
        <f>IF(C247="WIN",E247*(1-$B$4),-E247*(D247-1))</f>
        <v/>
      </c>
      <c r="G247" s="17">
        <f>G246+F247</f>
        <v/>
      </c>
      <c r="H247" s="15">
        <f>IF(C246="LOSS",$B$2,MIN(H246*$B$3,$B$2*$B$3^$B$6))</f>
        <v/>
      </c>
      <c r="I247" s="16">
        <f>IF(C247="WIN",H247*(1-$B$4),-H247*(D247-1))</f>
        <v/>
      </c>
      <c r="J247" s="17">
        <f>J246+I247</f>
        <v/>
      </c>
    </row>
    <row r="248">
      <c r="A248" s="2" t="n">
        <v>240</v>
      </c>
      <c r="B248" s="2" t="inlineStr">
        <is>
          <t>1-1</t>
        </is>
      </c>
      <c r="C248" s="4" t="inlineStr">
        <is>
          <t>WIN</t>
        </is>
      </c>
      <c r="D248" s="3" t="n">
        <v>10</v>
      </c>
      <c r="E248" s="15">
        <f>$B$2</f>
        <v/>
      </c>
      <c r="F248" s="16">
        <f>IF(C248="WIN",E248*(1-$B$4),-E248*(D248-1))</f>
        <v/>
      </c>
      <c r="G248" s="17">
        <f>G247+F248</f>
        <v/>
      </c>
      <c r="H248" s="15">
        <f>IF(C247="LOSS",$B$2,MIN(H247*$B$3,$B$2*$B$3^$B$6))</f>
        <v/>
      </c>
      <c r="I248" s="16">
        <f>IF(C248="WIN",H248*(1-$B$4),-H248*(D248-1))</f>
        <v/>
      </c>
      <c r="J248" s="17">
        <f>J247+I248</f>
        <v/>
      </c>
    </row>
    <row r="249">
      <c r="A249" s="2" t="n">
        <v>241</v>
      </c>
      <c r="B249" s="2" t="inlineStr">
        <is>
          <t>4-1</t>
        </is>
      </c>
      <c r="C249" s="4" t="inlineStr">
        <is>
          <t>WIN</t>
        </is>
      </c>
      <c r="D249" s="3" t="n">
        <v>10.5</v>
      </c>
      <c r="E249" s="15">
        <f>$B$2</f>
        <v/>
      </c>
      <c r="F249" s="16">
        <f>IF(C249="WIN",E249*(1-$B$4),-E249*(D249-1))</f>
        <v/>
      </c>
      <c r="G249" s="17">
        <f>G248+F249</f>
        <v/>
      </c>
      <c r="H249" s="15">
        <f>IF(C248="LOSS",$B$2,MIN(H248*$B$3,$B$2*$B$3^$B$6))</f>
        <v/>
      </c>
      <c r="I249" s="16">
        <f>IF(C249="WIN",H249*(1-$B$4),-H249*(D249-1))</f>
        <v/>
      </c>
      <c r="J249" s="17">
        <f>J248+I249</f>
        <v/>
      </c>
    </row>
    <row r="250">
      <c r="A250" s="2" t="n">
        <v>242</v>
      </c>
      <c r="B250" s="2" t="inlineStr">
        <is>
          <t>1-0</t>
        </is>
      </c>
      <c r="C250" s="4" t="inlineStr">
        <is>
          <t>WIN</t>
        </is>
      </c>
      <c r="D250" s="3" t="n">
        <v>8.6</v>
      </c>
      <c r="E250" s="15">
        <f>$B$2</f>
        <v/>
      </c>
      <c r="F250" s="16">
        <f>IF(C250="WIN",E250*(1-$B$4),-E250*(D250-1))</f>
        <v/>
      </c>
      <c r="G250" s="17">
        <f>G249+F250</f>
        <v/>
      </c>
      <c r="H250" s="15">
        <f>IF(C249="LOSS",$B$2,MIN(H249*$B$3,$B$2*$B$3^$B$6))</f>
        <v/>
      </c>
      <c r="I250" s="16">
        <f>IF(C250="WIN",H250*(1-$B$4),-H250*(D250-1))</f>
        <v/>
      </c>
      <c r="J250" s="17">
        <f>J249+I250</f>
        <v/>
      </c>
    </row>
    <row r="251">
      <c r="A251" s="2" t="n">
        <v>243</v>
      </c>
      <c r="B251" s="2" t="inlineStr">
        <is>
          <t>2-2</t>
        </is>
      </c>
      <c r="C251" s="4" t="inlineStr">
        <is>
          <t>WIN</t>
        </is>
      </c>
      <c r="D251" s="3" t="n">
        <v>9.800000000000001</v>
      </c>
      <c r="E251" s="15">
        <f>$B$2</f>
        <v/>
      </c>
      <c r="F251" s="16">
        <f>IF(C251="WIN",E251*(1-$B$4),-E251*(D251-1))</f>
        <v/>
      </c>
      <c r="G251" s="17">
        <f>G250+F251</f>
        <v/>
      </c>
      <c r="H251" s="15">
        <f>IF(C250="LOSS",$B$2,MIN(H250*$B$3,$B$2*$B$3^$B$6))</f>
        <v/>
      </c>
      <c r="I251" s="16">
        <f>IF(C251="WIN",H251*(1-$B$4),-H251*(D251-1))</f>
        <v/>
      </c>
      <c r="J251" s="17">
        <f>J250+I251</f>
        <v/>
      </c>
    </row>
    <row r="252">
      <c r="A252" s="2" t="n">
        <v>244</v>
      </c>
      <c r="B252" s="2" t="inlineStr">
        <is>
          <t>3-0</t>
        </is>
      </c>
      <c r="C252" s="4" t="inlineStr">
        <is>
          <t>WIN</t>
        </is>
      </c>
      <c r="D252" s="3" t="n">
        <v>8.4</v>
      </c>
      <c r="E252" s="15">
        <f>$B$2</f>
        <v/>
      </c>
      <c r="F252" s="16">
        <f>IF(C252="WIN",E252*(1-$B$4),-E252*(D252-1))</f>
        <v/>
      </c>
      <c r="G252" s="17">
        <f>G251+F252</f>
        <v/>
      </c>
      <c r="H252" s="15">
        <f>IF(C251="LOSS",$B$2,MIN(H251*$B$3,$B$2*$B$3^$B$6))</f>
        <v/>
      </c>
      <c r="I252" s="16">
        <f>IF(C252="WIN",H252*(1-$B$4),-H252*(D252-1))</f>
        <v/>
      </c>
      <c r="J252" s="17">
        <f>J251+I252</f>
        <v/>
      </c>
    </row>
    <row r="253">
      <c r="A253" s="2" t="n">
        <v>245</v>
      </c>
      <c r="B253" s="2" t="inlineStr">
        <is>
          <t>1-0</t>
        </is>
      </c>
      <c r="C253" s="4" t="inlineStr">
        <is>
          <t>WIN</t>
        </is>
      </c>
      <c r="D253" s="3" t="n">
        <v>9.199999999999999</v>
      </c>
      <c r="E253" s="15">
        <f>$B$2</f>
        <v/>
      </c>
      <c r="F253" s="16">
        <f>IF(C253="WIN",E253*(1-$B$4),-E253*(D253-1))</f>
        <v/>
      </c>
      <c r="G253" s="17">
        <f>G252+F253</f>
        <v/>
      </c>
      <c r="H253" s="15">
        <f>IF(C252="LOSS",$B$2,MIN(H252*$B$3,$B$2*$B$3^$B$6))</f>
        <v/>
      </c>
      <c r="I253" s="16">
        <f>IF(C253="WIN",H253*(1-$B$4),-H253*(D253-1))</f>
        <v/>
      </c>
      <c r="J253" s="17">
        <f>J252+I253</f>
        <v/>
      </c>
    </row>
    <row r="254">
      <c r="A254" s="2" t="n">
        <v>246</v>
      </c>
      <c r="B254" s="2" t="inlineStr">
        <is>
          <t>2-0</t>
        </is>
      </c>
      <c r="C254" s="4" t="inlineStr">
        <is>
          <t>WIN</t>
        </is>
      </c>
      <c r="D254" s="3" t="n">
        <v>12</v>
      </c>
      <c r="E254" s="15">
        <f>$B$2</f>
        <v/>
      </c>
      <c r="F254" s="16">
        <f>IF(C254="WIN",E254*(1-$B$4),-E254*(D254-1))</f>
        <v/>
      </c>
      <c r="G254" s="17">
        <f>G253+F254</f>
        <v/>
      </c>
      <c r="H254" s="15">
        <f>IF(C253="LOSS",$B$2,MIN(H253*$B$3,$B$2*$B$3^$B$6))</f>
        <v/>
      </c>
      <c r="I254" s="16">
        <f>IF(C254="WIN",H254*(1-$B$4),-H254*(D254-1))</f>
        <v/>
      </c>
      <c r="J254" s="17">
        <f>J253+I254</f>
        <v/>
      </c>
    </row>
    <row r="255">
      <c r="A255" s="2" t="n">
        <v>247</v>
      </c>
      <c r="B255" s="2" t="inlineStr">
        <is>
          <t>1-1</t>
        </is>
      </c>
      <c r="C255" s="4" t="inlineStr">
        <is>
          <t>WIN</t>
        </is>
      </c>
      <c r="D255" s="3" t="n">
        <v>11</v>
      </c>
      <c r="E255" s="15">
        <f>$B$2</f>
        <v/>
      </c>
      <c r="F255" s="16">
        <f>IF(C255="WIN",E255*(1-$B$4),-E255*(D255-1))</f>
        <v/>
      </c>
      <c r="G255" s="17">
        <f>G254+F255</f>
        <v/>
      </c>
      <c r="H255" s="15">
        <f>IF(C254="LOSS",$B$2,MIN(H254*$B$3,$B$2*$B$3^$B$6))</f>
        <v/>
      </c>
      <c r="I255" s="16">
        <f>IF(C255="WIN",H255*(1-$B$4),-H255*(D255-1))</f>
        <v/>
      </c>
      <c r="J255" s="17">
        <f>J254+I255</f>
        <v/>
      </c>
    </row>
    <row r="256">
      <c r="A256" s="2" t="n">
        <v>248</v>
      </c>
      <c r="B256" s="2" t="inlineStr">
        <is>
          <t>3-0</t>
        </is>
      </c>
      <c r="C256" s="4" t="inlineStr">
        <is>
          <t>WIN</t>
        </is>
      </c>
      <c r="D256" s="3" t="n">
        <v>13.5</v>
      </c>
      <c r="E256" s="15">
        <f>$B$2</f>
        <v/>
      </c>
      <c r="F256" s="16">
        <f>IF(C256="WIN",E256*(1-$B$4),-E256*(D256-1))</f>
        <v/>
      </c>
      <c r="G256" s="17">
        <f>G255+F256</f>
        <v/>
      </c>
      <c r="H256" s="15">
        <f>IF(C255="LOSS",$B$2,MIN(H255*$B$3,$B$2*$B$3^$B$6))</f>
        <v/>
      </c>
      <c r="I256" s="16">
        <f>IF(C256="WIN",H256*(1-$B$4),-H256*(D256-1))</f>
        <v/>
      </c>
      <c r="J256" s="17">
        <f>J255+I256</f>
        <v/>
      </c>
    </row>
    <row r="257">
      <c r="A257" s="2" t="n">
        <v>249</v>
      </c>
      <c r="B257" s="2" t="inlineStr">
        <is>
          <t>1-0</t>
        </is>
      </c>
      <c r="C257" s="4" t="inlineStr">
        <is>
          <t>WIN</t>
        </is>
      </c>
      <c r="D257" s="3" t="n">
        <v>10.5</v>
      </c>
      <c r="E257" s="15">
        <f>$B$2</f>
        <v/>
      </c>
      <c r="F257" s="16">
        <f>IF(C257="WIN",E257*(1-$B$4),-E257*(D257-1))</f>
        <v/>
      </c>
      <c r="G257" s="17">
        <f>G256+F257</f>
        <v/>
      </c>
      <c r="H257" s="15">
        <f>IF(C256="LOSS",$B$2,MIN(H256*$B$3,$B$2*$B$3^$B$6))</f>
        <v/>
      </c>
      <c r="I257" s="16">
        <f>IF(C257="WIN",H257*(1-$B$4),-H257*(D257-1))</f>
        <v/>
      </c>
      <c r="J257" s="17">
        <f>J256+I257</f>
        <v/>
      </c>
    </row>
    <row r="258">
      <c r="A258" s="2" t="n">
        <v>250</v>
      </c>
      <c r="B258" s="2" t="inlineStr">
        <is>
          <t>3-3</t>
        </is>
      </c>
      <c r="C258" s="4" t="inlineStr">
        <is>
          <t>WIN</t>
        </is>
      </c>
      <c r="D258" s="3" t="n">
        <v>10.5</v>
      </c>
      <c r="E258" s="15">
        <f>$B$2</f>
        <v/>
      </c>
      <c r="F258" s="16">
        <f>IF(C258="WIN",E258*(1-$B$4),-E258*(D258-1))</f>
        <v/>
      </c>
      <c r="G258" s="17">
        <f>G257+F258</f>
        <v/>
      </c>
      <c r="H258" s="15">
        <f>IF(C257="LOSS",$B$2,MIN(H257*$B$3,$B$2*$B$3^$B$6))</f>
        <v/>
      </c>
      <c r="I258" s="16">
        <f>IF(C258="WIN",H258*(1-$B$4),-H258*(D258-1))</f>
        <v/>
      </c>
      <c r="J258" s="17">
        <f>J257+I258</f>
        <v/>
      </c>
    </row>
    <row r="259">
      <c r="A259" s="2" t="n">
        <v>251</v>
      </c>
      <c r="B259" s="2" t="inlineStr">
        <is>
          <t>3-1</t>
        </is>
      </c>
      <c r="C259" s="4" t="inlineStr">
        <is>
          <t>WIN</t>
        </is>
      </c>
      <c r="D259" s="3" t="n">
        <v>8.199999999999999</v>
      </c>
      <c r="E259" s="15">
        <f>$B$2</f>
        <v/>
      </c>
      <c r="F259" s="16">
        <f>IF(C259="WIN",E259*(1-$B$4),-E259*(D259-1))</f>
        <v/>
      </c>
      <c r="G259" s="17">
        <f>G258+F259</f>
        <v/>
      </c>
      <c r="H259" s="15">
        <f>IF(C258="LOSS",$B$2,MIN(H258*$B$3,$B$2*$B$3^$B$6))</f>
        <v/>
      </c>
      <c r="I259" s="16">
        <f>IF(C259="WIN",H259*(1-$B$4),-H259*(D259-1))</f>
        <v/>
      </c>
      <c r="J259" s="17">
        <f>J258+I259</f>
        <v/>
      </c>
    </row>
    <row r="260">
      <c r="A260" s="2" t="n">
        <v>252</v>
      </c>
      <c r="B260" s="2" t="inlineStr">
        <is>
          <t>3-0</t>
        </is>
      </c>
      <c r="C260" s="4" t="inlineStr">
        <is>
          <t>WIN</t>
        </is>
      </c>
      <c r="D260" s="3" t="n">
        <v>8.199999999999999</v>
      </c>
      <c r="E260" s="15">
        <f>$B$2</f>
        <v/>
      </c>
      <c r="F260" s="16">
        <f>IF(C260="WIN",E260*(1-$B$4),-E260*(D260-1))</f>
        <v/>
      </c>
      <c r="G260" s="17">
        <f>G259+F260</f>
        <v/>
      </c>
      <c r="H260" s="15">
        <f>IF(C259="LOSS",$B$2,MIN(H259*$B$3,$B$2*$B$3^$B$6))</f>
        <v/>
      </c>
      <c r="I260" s="16">
        <f>IF(C260="WIN",H260*(1-$B$4),-H260*(D260-1))</f>
        <v/>
      </c>
      <c r="J260" s="17">
        <f>J259+I260</f>
        <v/>
      </c>
    </row>
    <row r="261">
      <c r="A261" s="2" t="n">
        <v>253</v>
      </c>
      <c r="B261" s="2" t="inlineStr">
        <is>
          <t>1-1</t>
        </is>
      </c>
      <c r="C261" s="4" t="inlineStr">
        <is>
          <t>WIN</t>
        </is>
      </c>
      <c r="D261" s="3" t="n">
        <v>8.4</v>
      </c>
      <c r="E261" s="15">
        <f>$B$2</f>
        <v/>
      </c>
      <c r="F261" s="16">
        <f>IF(C261="WIN",E261*(1-$B$4),-E261*(D261-1))</f>
        <v/>
      </c>
      <c r="G261" s="17">
        <f>G260+F261</f>
        <v/>
      </c>
      <c r="H261" s="15">
        <f>IF(C260="LOSS",$B$2,MIN(H260*$B$3,$B$2*$B$3^$B$6))</f>
        <v/>
      </c>
      <c r="I261" s="16">
        <f>IF(C261="WIN",H261*(1-$B$4),-H261*(D261-1))</f>
        <v/>
      </c>
      <c r="J261" s="17">
        <f>J260+I261</f>
        <v/>
      </c>
    </row>
    <row r="262">
      <c r="A262" s="2" t="n">
        <v>254</v>
      </c>
      <c r="B262" s="2" t="inlineStr">
        <is>
          <t>4-1</t>
        </is>
      </c>
      <c r="C262" s="4" t="inlineStr">
        <is>
          <t>WIN</t>
        </is>
      </c>
      <c r="D262" s="3" t="n">
        <v>10</v>
      </c>
      <c r="E262" s="15">
        <f>$B$2</f>
        <v/>
      </c>
      <c r="F262" s="16">
        <f>IF(C262="WIN",E262*(1-$B$4),-E262*(D262-1))</f>
        <v/>
      </c>
      <c r="G262" s="17">
        <f>G261+F262</f>
        <v/>
      </c>
      <c r="H262" s="15">
        <f>IF(C261="LOSS",$B$2,MIN(H261*$B$3,$B$2*$B$3^$B$6))</f>
        <v/>
      </c>
      <c r="I262" s="16">
        <f>IF(C262="WIN",H262*(1-$B$4),-H262*(D262-1))</f>
        <v/>
      </c>
      <c r="J262" s="17">
        <f>J261+I262</f>
        <v/>
      </c>
    </row>
    <row r="264">
      <c r="A264" s="19" t="inlineStr">
        <is>
          <t>RESULTATS (CALCULES PAR FORMULES)</t>
        </is>
      </c>
    </row>
    <row r="265">
      <c r="A265" s="20" t="inlineStr">
        <is>
          <t>Paris total</t>
        </is>
      </c>
      <c r="B265" s="6">
        <f>COUNTA(C9:C262)</f>
        <v/>
      </c>
    </row>
    <row r="266">
      <c r="A266" s="20" t="inlineStr">
        <is>
          <t>Wins</t>
        </is>
      </c>
      <c r="B266" s="6">
        <f>COUNTIF(C9:C262,"WIN")</f>
        <v/>
      </c>
    </row>
    <row r="267">
      <c r="A267" s="20" t="inlineStr">
        <is>
          <t>Losses</t>
        </is>
      </c>
      <c r="B267" s="6">
        <f>COUNTIF(C9:C262,"LOSS")</f>
        <v/>
      </c>
    </row>
    <row r="269">
      <c r="A269" s="20" t="inlineStr">
        <is>
          <t>Win rate (%)</t>
        </is>
      </c>
      <c r="B269" s="21">
        <f>B265/B266*100</f>
        <v/>
      </c>
    </row>
    <row r="271">
      <c r="A271" s="20" t="inlineStr">
        <is>
          <t>Profit FIXE (EUR)</t>
        </is>
      </c>
      <c r="B271" s="22">
        <f>SUM(F9:F262)</f>
        <v/>
      </c>
    </row>
    <row r="272">
      <c r="A272" s="20" t="inlineStr">
        <is>
          <t>ROI FIXE (%)</t>
        </is>
      </c>
      <c r="B272" s="22">
        <f>SUM(F9:F262)/(254*$B$2)*100</f>
        <v/>
      </c>
    </row>
    <row r="273">
      <c r="A273" s="20" t="inlineStr">
        <is>
          <t>Bankroll FIXE (EUR)</t>
        </is>
      </c>
      <c r="B273" s="23">
        <f>$B$5+SUM(F9:F262)</f>
        <v/>
      </c>
    </row>
    <row r="275">
      <c r="A275" s="20" t="inlineStr">
        <is>
          <t>Profit PAROLI (EUR)</t>
        </is>
      </c>
      <c r="B275" s="24">
        <f>SUM(I9:I262)</f>
        <v/>
      </c>
    </row>
    <row r="276">
      <c r="A276" s="20" t="inlineStr">
        <is>
          <t>ROI PAROLI (%)</t>
        </is>
      </c>
      <c r="B276" s="24">
        <f>SUM(I9:I262)/(254*$B$2)*100</f>
        <v/>
      </c>
    </row>
    <row r="277">
      <c r="A277" s="20" t="inlineStr">
        <is>
          <t>Bankroll PAROLI (EUR)</t>
        </is>
      </c>
      <c r="B277" s="25">
        <f>$B$5+SUM(I9:I262)</f>
        <v/>
      </c>
    </row>
  </sheetData>
  <mergeCells count="2">
    <mergeCell ref="A264:J26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26" t="inlineStr">
        <is>
          <t>STRATEGIE</t>
        </is>
      </c>
    </row>
    <row r="2">
      <c r="A2" s="26" t="inlineStr">
        <is>
          <t>Tranche cotes BACK</t>
        </is>
      </c>
    </row>
    <row r="3">
      <c r="A3" s="26" t="inlineStr">
        <is>
          <t>Commission</t>
        </is>
      </c>
    </row>
    <row r="4">
      <c r="B4" s="27" t="inlineStr"/>
    </row>
    <row r="5">
      <c r="A5" s="20" t="inlineStr">
        <is>
          <t>LIGUES (9)</t>
        </is>
      </c>
      <c r="B5" s="27" t="inlineStr"/>
    </row>
    <row r="6">
      <c r="A6" s="26" t="inlineStr">
        <is>
          <t>T1</t>
        </is>
      </c>
    </row>
    <row r="7">
      <c r="A7" s="26" t="inlineStr">
        <is>
          <t>SP2</t>
        </is>
      </c>
    </row>
    <row r="8">
      <c r="A8" s="26" t="inlineStr">
        <is>
          <t>N1</t>
        </is>
      </c>
    </row>
    <row r="9">
      <c r="A9" s="26" t="inlineStr">
        <is>
          <t>SP1</t>
        </is>
      </c>
    </row>
    <row r="10">
      <c r="A10" s="26" t="inlineStr">
        <is>
          <t>E1</t>
        </is>
      </c>
    </row>
    <row r="11">
      <c r="A11" s="26" t="inlineStr">
        <is>
          <t>P1</t>
        </is>
      </c>
    </row>
    <row r="12">
      <c r="A12" s="26" t="inlineStr">
        <is>
          <t>G1</t>
        </is>
      </c>
    </row>
    <row r="13">
      <c r="A13" s="26" t="inlineStr">
        <is>
          <t>I1</t>
        </is>
      </c>
    </row>
    <row r="14">
      <c r="A14" s="26" t="inlineStr">
        <is>
          <t>B1</t>
        </is>
      </c>
    </row>
    <row r="15">
      <c r="B15" s="27" t="inlineStr"/>
    </row>
    <row r="16">
      <c r="A16" s="20" t="inlineStr">
        <is>
          <t>DONNEES</t>
        </is>
      </c>
      <c r="B16" s="27" t="inlineStr"/>
    </row>
    <row r="17">
      <c r="A17" s="26" t="inlineStr">
        <is>
          <t>Saisons</t>
        </is>
      </c>
    </row>
    <row r="18">
      <c r="A18" s="26" t="inlineStr">
        <is>
          <t>Matchs charges</t>
        </is>
      </c>
    </row>
    <row r="19">
      <c r="A19" s="26" t="inlineStr">
        <is>
          <t>Paris retenus</t>
        </is>
      </c>
    </row>
    <row r="20">
      <c r="A20" s="26" t="inlineStr">
        <is>
          <t>Max paris/jour</t>
        </is>
      </c>
    </row>
    <row r="21">
      <c r="B21" s="27" t="inlineStr"/>
    </row>
    <row r="22">
      <c r="A22" s="20" t="inlineStr">
        <is>
          <t>COMMENT UTILISER</t>
        </is>
      </c>
      <c r="B22" s="27" t="inlineStr"/>
    </row>
    <row r="23">
      <c r="A23" s="20" t="inlineStr">
        <is>
          <t>1. Va dans l'onglet Simulation</t>
        </is>
      </c>
      <c r="B23" s="27" t="inlineStr"/>
    </row>
    <row r="24">
      <c r="A24" s="20" t="inlineStr">
        <is>
          <t>2. Change B2 (mise), B3 (multiplicateur), etc.</t>
        </is>
      </c>
      <c r="B24" s="27" t="inlineStr"/>
    </row>
    <row r="25">
      <c r="A25" s="20" t="inlineStr">
        <is>
          <t>3. Tout se recalcule automatiquement !</t>
        </is>
      </c>
      <c r="B25" s="27" t="inlineStr"/>
    </row>
    <row r="26">
      <c r="B26" s="27" t="inlineStr"/>
    </row>
    <row r="27">
      <c r="A27" s="20" t="inlineStr">
        <is>
          <t>FORMULES Paroli</t>
        </is>
      </c>
      <c r="B27" s="27" t="inlineStr"/>
    </row>
    <row r="28">
      <c r="A28" s="26" t="inlineStr">
        <is>
          <t>Mise = si perte → mise de base</t>
        </is>
      </c>
    </row>
    <row r="29">
      <c r="A29" s="20" t="inlineStr">
        <is>
          <t xml:space="preserve">       si gain → mise_precedente × multiplicateur</t>
        </is>
      </c>
      <c r="B29" s="27" t="inlineStr"/>
    </row>
    <row r="30">
      <c r="A30" s="20" t="inlineStr">
        <is>
          <t xml:space="preserve">       mais jamais &gt; mise_base × multiplicateur^cap</t>
        </is>
      </c>
      <c r="B30" s="27" t="inlineStr"/>
    </row>
  </sheetData>
  <mergeCells count="17">
    <mergeCell ref="A20:B20"/>
    <mergeCell ref="A2:B2"/>
    <mergeCell ref="A7:B7"/>
    <mergeCell ref="A19:B19"/>
    <mergeCell ref="A11:B11"/>
    <mergeCell ref="A10:B10"/>
    <mergeCell ref="A28:B28"/>
    <mergeCell ref="A13:B13"/>
    <mergeCell ref="A14:B14"/>
    <mergeCell ref="A1:B1"/>
    <mergeCell ref="A17:B17"/>
    <mergeCell ref="A9:B9"/>
    <mergeCell ref="A18:B18"/>
    <mergeCell ref="A8:B8"/>
    <mergeCell ref="A3:B3"/>
    <mergeCell ref="A6:B6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6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Ligue</t>
        </is>
      </c>
      <c r="B1" s="1" t="inlineStr">
        <is>
          <t>Paris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WR%</t>
        </is>
      </c>
      <c r="F1" s="1" t="inlineStr">
        <is>
          <t>PnL 10EUR</t>
        </is>
      </c>
      <c r="G1" s="1" t="inlineStr">
        <is>
          <t>ROI%</t>
        </is>
      </c>
    </row>
    <row r="2">
      <c r="A2" s="2" t="inlineStr">
        <is>
          <t>La Liga</t>
        </is>
      </c>
      <c r="B2" s="2" t="n">
        <v>71</v>
      </c>
      <c r="C2" s="2" t="n">
        <v>68</v>
      </c>
      <c r="D2" s="2" t="n">
        <v>3</v>
      </c>
      <c r="E2" s="2" t="inlineStr">
        <is>
          <t>95.8%</t>
        </is>
      </c>
      <c r="F2" s="16" t="n">
        <v>336</v>
      </c>
      <c r="G2" s="2" t="inlineStr">
        <is>
          <t>+47.32%</t>
        </is>
      </c>
    </row>
    <row r="3">
      <c r="A3" s="2" t="inlineStr">
        <is>
          <t>Super Lig (TUR)</t>
        </is>
      </c>
      <c r="B3" s="2" t="n">
        <v>41</v>
      </c>
      <c r="C3" s="2" t="n">
        <v>40</v>
      </c>
      <c r="D3" s="2" t="n">
        <v>1</v>
      </c>
      <c r="E3" s="2" t="inlineStr">
        <is>
          <t>97.6%</t>
        </is>
      </c>
      <c r="F3" s="16" t="n">
        <v>302</v>
      </c>
      <c r="G3" s="2" t="inlineStr">
        <is>
          <t>+73.66%</t>
        </is>
      </c>
    </row>
    <row r="4">
      <c r="A4" s="2" t="inlineStr">
        <is>
          <t>Eredivisie</t>
        </is>
      </c>
      <c r="B4" s="2" t="n">
        <v>49</v>
      </c>
      <c r="C4" s="2" t="n">
        <v>47</v>
      </c>
      <c r="D4" s="2" t="n">
        <v>2</v>
      </c>
      <c r="E4" s="2" t="inlineStr">
        <is>
          <t>95.9%</t>
        </is>
      </c>
      <c r="F4" s="16" t="n">
        <v>294.5</v>
      </c>
      <c r="G4" s="2" t="inlineStr">
        <is>
          <t>+60.10%</t>
        </is>
      </c>
    </row>
    <row r="5">
      <c r="A5" s="2" t="inlineStr">
        <is>
          <t>Liga Portugal</t>
        </is>
      </c>
      <c r="B5" s="2" t="n">
        <v>34</v>
      </c>
      <c r="C5" s="2" t="n">
        <v>33</v>
      </c>
      <c r="D5" s="2" t="n">
        <v>1</v>
      </c>
      <c r="E5" s="2" t="inlineStr">
        <is>
          <t>97.1%</t>
        </is>
      </c>
      <c r="F5" s="16" t="n">
        <v>239.5</v>
      </c>
      <c r="G5" s="2" t="inlineStr">
        <is>
          <t>+70.44%</t>
        </is>
      </c>
    </row>
    <row r="6">
      <c r="A6" s="2" t="inlineStr">
        <is>
          <t>Championship</t>
        </is>
      </c>
      <c r="B6" s="2" t="n">
        <v>34</v>
      </c>
      <c r="C6" s="2" t="n">
        <v>33</v>
      </c>
      <c r="D6" s="2" t="n">
        <v>1</v>
      </c>
      <c r="E6" s="2" t="inlineStr">
        <is>
          <t>97.1%</t>
        </is>
      </c>
      <c r="F6" s="16" t="n">
        <v>231.5</v>
      </c>
      <c r="G6" s="2" t="inlineStr">
        <is>
          <t>+68.09%</t>
        </is>
      </c>
    </row>
    <row r="7">
      <c r="A7" s="2" t="inlineStr">
        <is>
          <t>Segunda</t>
        </is>
      </c>
      <c r="B7" s="2" t="n">
        <v>10</v>
      </c>
      <c r="C7" s="2" t="n">
        <v>10</v>
      </c>
      <c r="D7" s="2" t="n">
        <v>0</v>
      </c>
      <c r="E7" s="2" t="inlineStr">
        <is>
          <t>100.0%</t>
        </is>
      </c>
      <c r="F7" s="16" t="n">
        <v>95</v>
      </c>
      <c r="G7" s="2" t="inlineStr">
        <is>
          <t>+95.00%</t>
        </is>
      </c>
    </row>
    <row r="8">
      <c r="A8" s="2" t="inlineStr">
        <is>
          <t>Super League (GRE)</t>
        </is>
      </c>
      <c r="B8" s="2" t="n">
        <v>15</v>
      </c>
      <c r="C8" s="2" t="n">
        <v>13</v>
      </c>
      <c r="D8" s="2" t="n">
        <v>2</v>
      </c>
      <c r="E8" s="2" t="inlineStr">
        <is>
          <t>86.7%</t>
        </is>
      </c>
      <c r="F8" s="18" t="n">
        <v>-40.5</v>
      </c>
      <c r="G8" s="2" t="inlineStr">
        <is>
          <t>-27.00%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6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Saison</t>
        </is>
      </c>
      <c r="B1" s="1" t="inlineStr">
        <is>
          <t>Paris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WR%</t>
        </is>
      </c>
      <c r="F1" s="1" t="inlineStr">
        <is>
          <t>PnL 10EUR</t>
        </is>
      </c>
      <c r="G1" s="1" t="inlineStr">
        <is>
          <t>ROI%</t>
        </is>
      </c>
    </row>
    <row r="2">
      <c r="A2" s="2" t="inlineStr">
        <is>
          <t>2024-2025</t>
        </is>
      </c>
      <c r="B2" s="2" t="n">
        <v>130</v>
      </c>
      <c r="C2" s="2" t="n">
        <v>126</v>
      </c>
      <c r="D2" s="2" t="n">
        <v>4</v>
      </c>
      <c r="E2" s="2" t="inlineStr">
        <is>
          <t>96.9%</t>
        </is>
      </c>
      <c r="F2" s="16" t="n">
        <v>848</v>
      </c>
      <c r="G2" s="2" t="inlineStr">
        <is>
          <t>+65.23%</t>
        </is>
      </c>
    </row>
    <row r="3">
      <c r="A3" s="2" t="inlineStr">
        <is>
          <t>2025-2026</t>
        </is>
      </c>
      <c r="B3" s="2" t="n">
        <v>124</v>
      </c>
      <c r="C3" s="2" t="n">
        <v>118</v>
      </c>
      <c r="D3" s="2" t="n">
        <v>6</v>
      </c>
      <c r="E3" s="2" t="inlineStr">
        <is>
          <t>95.2%</t>
        </is>
      </c>
      <c r="F3" s="16" t="n">
        <v>610</v>
      </c>
      <c r="G3" s="2" t="inlineStr">
        <is>
          <t>+49.19%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6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Tranche</t>
        </is>
      </c>
      <c r="B1" s="1" t="inlineStr">
        <is>
          <t>Paris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WR%</t>
        </is>
      </c>
      <c r="F1" s="1" t="inlineStr">
        <is>
          <t>PnL 10EUR</t>
        </is>
      </c>
      <c r="G1" s="1" t="inlineStr">
        <is>
          <t>ROI%</t>
        </is>
      </c>
    </row>
    <row r="2">
      <c r="A2" s="2" t="inlineStr">
        <is>
          <t>8-9</t>
        </is>
      </c>
      <c r="B2" s="2" t="n">
        <v>57</v>
      </c>
      <c r="C2" s="2" t="n">
        <v>53</v>
      </c>
      <c r="D2" s="2" t="n">
        <v>4</v>
      </c>
      <c r="E2" s="2" t="inlineStr">
        <is>
          <t>93.0%</t>
        </is>
      </c>
      <c r="F2" s="16" t="n">
        <v>205.5</v>
      </c>
      <c r="G2" s="2" t="inlineStr">
        <is>
          <t>36.05%</t>
        </is>
      </c>
    </row>
    <row r="3">
      <c r="A3" s="2" t="inlineStr">
        <is>
          <t>9-10</t>
        </is>
      </c>
      <c r="B3" s="2" t="n">
        <v>40</v>
      </c>
      <c r="C3" s="2" t="n">
        <v>38</v>
      </c>
      <c r="D3" s="2" t="n">
        <v>2</v>
      </c>
      <c r="E3" s="2" t="inlineStr">
        <is>
          <t>95.0%</t>
        </is>
      </c>
      <c r="F3" s="16" t="n">
        <v>199</v>
      </c>
      <c r="G3" s="2" t="inlineStr">
        <is>
          <t>49.75%</t>
        </is>
      </c>
    </row>
    <row r="4">
      <c r="A4" s="2" t="inlineStr">
        <is>
          <t>10-12</t>
        </is>
      </c>
      <c r="B4" s="2" t="n">
        <v>72</v>
      </c>
      <c r="C4" s="2" t="n">
        <v>69</v>
      </c>
      <c r="D4" s="2" t="n">
        <v>3</v>
      </c>
      <c r="E4" s="2" t="inlineStr">
        <is>
          <t>95.8%</t>
        </is>
      </c>
      <c r="F4" s="16" t="n">
        <v>365.5</v>
      </c>
      <c r="G4" s="2" t="inlineStr">
        <is>
          <t>50.76%</t>
        </is>
      </c>
    </row>
    <row r="5">
      <c r="A5" s="2" t="inlineStr">
        <is>
          <t>12-15</t>
        </is>
      </c>
      <c r="B5" s="2" t="n">
        <v>85</v>
      </c>
      <c r="C5" s="2" t="n">
        <v>84</v>
      </c>
      <c r="D5" s="2" t="n">
        <v>1</v>
      </c>
      <c r="E5" s="2" t="inlineStr">
        <is>
          <t>98.8%</t>
        </is>
      </c>
      <c r="F5" s="16" t="n">
        <v>688</v>
      </c>
      <c r="G5" s="2" t="inlineStr">
        <is>
          <t>80.94%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2026-06-23T09:34:49Z</dcterms:created>
  <dcterms:modified xmlns:dcterms="http://purl.org/dc/terms/" xmlns:xsi="http://www.w3.org/2001/XMLSchema-instance" xsi:type="dcterms:W3CDTF">2026-06-23T09:34:50Z</dcterms:modified>
</cp:coreProperties>
</file>